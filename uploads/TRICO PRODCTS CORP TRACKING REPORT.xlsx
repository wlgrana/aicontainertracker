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senbarg\Documents\"/>
    </mc:Choice>
  </mc:AlternateContent>
  <xr:revisionPtr revIDLastSave="0" documentId="13_ncr:1_{19465BBE-7972-4BDD-A6D5-4781FC8223FB}" xr6:coauthVersionLast="47" xr6:coauthVersionMax="47" xr10:uidLastSave="{00000000-0000-0000-0000-000000000000}"/>
  <bookViews>
    <workbookView xWindow="-120" yWindow="-120" windowWidth="29040" windowHeight="15720" xr2:uid="{C228C425-81F2-4E12-8479-82548C5A1C55}"/>
  </bookViews>
  <sheets>
    <sheet name="Sheet1" sheetId="1" r:id="rId1"/>
  </sheets>
  <definedNames>
    <definedName name="_xlnm._FilterDatabase" localSheetId="0" hidden="1">Sheet1!$A$4:$Y$76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<sst xmlns="http://schemas.openxmlformats.org/spreadsheetml/2006/main" count="976" uniqueCount="322">
  <si>
    <t>Status</t>
  </si>
  <si>
    <t>CONTAINER</t>
  </si>
  <si>
    <t>SIZE</t>
  </si>
  <si>
    <t>HBL</t>
  </si>
  <si>
    <t>PO NO.</t>
  </si>
  <si>
    <t>ETA POD</t>
  </si>
  <si>
    <t>POD</t>
  </si>
  <si>
    <t>F. Dest</t>
  </si>
  <si>
    <t>EMPTY RETRN DATE</t>
  </si>
  <si>
    <t>SHIPMENT ID</t>
  </si>
  <si>
    <t>ETA FINAL DEST</t>
  </si>
  <si>
    <t>40HC</t>
  </si>
  <si>
    <t>CUSTOMER</t>
  </si>
  <si>
    <t>ETD POL</t>
  </si>
  <si>
    <t>POL</t>
  </si>
  <si>
    <t>Shanghai, CN</t>
  </si>
  <si>
    <t>Los Angeles, CA</t>
  </si>
  <si>
    <t>Long Beach, CA</t>
  </si>
  <si>
    <t>MBL</t>
  </si>
  <si>
    <t>SHIPPER</t>
  </si>
  <si>
    <t>40GP</t>
  </si>
  <si>
    <t>Kaohsiung, TW</t>
  </si>
  <si>
    <t>LCL</t>
  </si>
  <si>
    <t>Houston, TX</t>
  </si>
  <si>
    <t>Brownsville, TX</t>
  </si>
  <si>
    <t>20GP</t>
  </si>
  <si>
    <t>Busan, KR</t>
  </si>
  <si>
    <t>Keelung (Chilung), TW</t>
  </si>
  <si>
    <t>New York, NY</t>
  </si>
  <si>
    <t xml:space="preserve"> CUSTOMER LFD PER DIEM</t>
  </si>
  <si>
    <t>VSL</t>
  </si>
  <si>
    <t>TRICO PRODUCT CORP TRACKING REPORT</t>
  </si>
  <si>
    <t>S25110146856</t>
  </si>
  <si>
    <t>TRICO PRODUCTS CORP (FIRST BRANDS)</t>
  </si>
  <si>
    <t>WAYWORLD FASTECH CORPORATION</t>
  </si>
  <si>
    <t>OOCU4826579</t>
  </si>
  <si>
    <t>STPE7263734</t>
  </si>
  <si>
    <t>OOLU2314576980</t>
  </si>
  <si>
    <t>608786-000-010, 609654-000-010</t>
  </si>
  <si>
    <t>S25110148061</t>
  </si>
  <si>
    <t>NINGBO IKD AUTO PRODUCTS CO, LTD</t>
  </si>
  <si>
    <t>YMMU4103787</t>
  </si>
  <si>
    <t>YMJAW237262859</t>
  </si>
  <si>
    <t>IKDUS01354</t>
  </si>
  <si>
    <t>S25110146728</t>
  </si>
  <si>
    <t>S25110146991</t>
  </si>
  <si>
    <t>S25120148319</t>
  </si>
  <si>
    <t>ANHUI POWERGUARD TECHNOLOGY CO LTD</t>
  </si>
  <si>
    <t>GAOU7833822</t>
  </si>
  <si>
    <t>NINGBO CITY FRESH</t>
  </si>
  <si>
    <t>GAOU7831630</t>
  </si>
  <si>
    <t>KOLEKTOR MOBILITY, DOO</t>
  </si>
  <si>
    <t>ZCSU7663638</t>
  </si>
  <si>
    <t>COSU6435259880</t>
  </si>
  <si>
    <t>613453-000-010</t>
  </si>
  <si>
    <t>COSU6434818000</t>
  </si>
  <si>
    <t>NAT-M-20250918-1</t>
  </si>
  <si>
    <t>BA587628</t>
  </si>
  <si>
    <t>ZIMUGOA1086235</t>
  </si>
  <si>
    <t>TBA</t>
  </si>
  <si>
    <t>Koper, SI</t>
  </si>
  <si>
    <t>S25110147216</t>
  </si>
  <si>
    <t>FORTEQ (UK) LTD</t>
  </si>
  <si>
    <t>MAGU4890355</t>
  </si>
  <si>
    <t>MEWDUK25013818</t>
  </si>
  <si>
    <t>HLCULIV251106099</t>
  </si>
  <si>
    <t>London, GB</t>
  </si>
  <si>
    <t>S25120148740</t>
  </si>
  <si>
    <t>SHANGHAI SWEET AUTO PARTS CO</t>
  </si>
  <si>
    <t>YMMU6634205</t>
  </si>
  <si>
    <t>YMJAW237265070</t>
  </si>
  <si>
    <t>212154/212100/212145</t>
  </si>
  <si>
    <t>El Paso, TX</t>
  </si>
  <si>
    <t>S25110147174</t>
  </si>
  <si>
    <t>SERA CO, LTD</t>
  </si>
  <si>
    <t>RFCU5098718</t>
  </si>
  <si>
    <t>TGBU7128112</t>
  </si>
  <si>
    <t>ZIMUSEL71190842</t>
  </si>
  <si>
    <t>OWSA</t>
  </si>
  <si>
    <t>S25110147602</t>
  </si>
  <si>
    <t>TAIGENE ELECTRIC MACHINERY CO, LTD.</t>
  </si>
  <si>
    <t>TEMU0723730</t>
  </si>
  <si>
    <t>YMJAW202203474</t>
  </si>
  <si>
    <t>250918-4</t>
  </si>
  <si>
    <t>S25110147896</t>
  </si>
  <si>
    <t>S25110147923</t>
  </si>
  <si>
    <t>S25110147924</t>
  </si>
  <si>
    <t>DFSU6889244</t>
  </si>
  <si>
    <t>TRICO AUTOMOTIVE SYSTEMS (SUZHOU) CO, LTD</t>
  </si>
  <si>
    <t>SMLU4650260</t>
  </si>
  <si>
    <t>SSHA7277030</t>
  </si>
  <si>
    <t>OOLU2163639814</t>
  </si>
  <si>
    <t>IKDUS01355</t>
  </si>
  <si>
    <t>SSHA7274029</t>
  </si>
  <si>
    <t>COSU6435119010</t>
  </si>
  <si>
    <t>SSHA7274193</t>
  </si>
  <si>
    <t>S25110147980</t>
  </si>
  <si>
    <t>HEYUAN KOSHEN INSULATOR CO, LTD</t>
  </si>
  <si>
    <t>HDMU2765032</t>
  </si>
  <si>
    <t>HMMU2149570</t>
  </si>
  <si>
    <t>SSZX7286923</t>
  </si>
  <si>
    <t>HDMUHKGM04557000</t>
  </si>
  <si>
    <t>606912/607692</t>
  </si>
  <si>
    <t>Yantian Pt, CN</t>
  </si>
  <si>
    <t>S25120148879</t>
  </si>
  <si>
    <t>TTNU1224580</t>
  </si>
  <si>
    <t>YMMU4171462</t>
  </si>
  <si>
    <t>YMJAW202203858</t>
  </si>
  <si>
    <t>250829-3, 251023-1</t>
  </si>
  <si>
    <t>S25120148404</t>
  </si>
  <si>
    <t>TEMU4783240</t>
  </si>
  <si>
    <t>UK25014192</t>
  </si>
  <si>
    <t>ONEYLIVF35969400</t>
  </si>
  <si>
    <t>616606/1584810</t>
  </si>
  <si>
    <t>616191, 613596, 616077, 616585, 614510, 615854</t>
  </si>
  <si>
    <t>BCN</t>
  </si>
  <si>
    <t>S25120149265</t>
  </si>
  <si>
    <t>KUNSHAN SKYLINE IMPORT &amp; EXPORT CO LTD</t>
  </si>
  <si>
    <t>CXRU1180200</t>
  </si>
  <si>
    <t>SSHA7280896</t>
  </si>
  <si>
    <t>ONEYSHAFY5072300</t>
  </si>
  <si>
    <t>EA403-24053</t>
  </si>
  <si>
    <t>S25120149266</t>
  </si>
  <si>
    <t>SSHA7281183</t>
  </si>
  <si>
    <t>S25120149311</t>
  </si>
  <si>
    <t>ZHENJIANG YUESHUN METAL PRODUCTS CO, LTD</t>
  </si>
  <si>
    <t>YMMU4120824</t>
  </si>
  <si>
    <t>YMJAW237267089</t>
  </si>
  <si>
    <t>YS2511001-1</t>
  </si>
  <si>
    <t>S25120149313</t>
  </si>
  <si>
    <t>YMMU4142504</t>
  </si>
  <si>
    <t>YMMU4055987</t>
  </si>
  <si>
    <t>YMJAW237267731</t>
  </si>
  <si>
    <t>by consol</t>
  </si>
  <si>
    <t>S25120149525</t>
  </si>
  <si>
    <t>MRKU0205750</t>
  </si>
  <si>
    <t>MEWDUK25015126</t>
  </si>
  <si>
    <t>MAEU262664954</t>
  </si>
  <si>
    <t>ZVA20251121003</t>
  </si>
  <si>
    <t>Southampton, GB</t>
  </si>
  <si>
    <t>S25120149533</t>
  </si>
  <si>
    <t>YMLU5168135</t>
  </si>
  <si>
    <t>YMJAW202204108</t>
  </si>
  <si>
    <t>250430, 251023-3</t>
  </si>
  <si>
    <t>BOOKING DESTINATION</t>
  </si>
  <si>
    <t>RAIL DEPARTURE DATE</t>
  </si>
  <si>
    <t>N/A</t>
  </si>
  <si>
    <t>S25120149650</t>
  </si>
  <si>
    <t>S25120149651</t>
  </si>
  <si>
    <t>S25120149652</t>
  </si>
  <si>
    <t>S25120149653</t>
  </si>
  <si>
    <t>QINGDAO DAHUA MACHINERY CO., LTD.</t>
  </si>
  <si>
    <t>IKD CO., LTD</t>
  </si>
  <si>
    <t>YMJAW237267731A</t>
  </si>
  <si>
    <t>YMJAW237267731B</t>
  </si>
  <si>
    <t>YMJAW237267731C</t>
  </si>
  <si>
    <t>YMJAW237267731D</t>
  </si>
  <si>
    <t>S25120149654</t>
  </si>
  <si>
    <t>YMJAW237267731E</t>
  </si>
  <si>
    <t>LFD ON PORT / RAIL</t>
  </si>
  <si>
    <t>OUT GATE</t>
  </si>
  <si>
    <t>CONTAINER AVAILABLE</t>
  </si>
  <si>
    <t>RAIL ARRIVAL DATE</t>
  </si>
  <si>
    <t>ACTUAL DELIVERY DATE</t>
  </si>
  <si>
    <t>TRUCKER DELIVERY APPT DATE</t>
  </si>
  <si>
    <t>S25120149722</t>
  </si>
  <si>
    <t>KB COMPONENTS PLACELL AB</t>
  </si>
  <si>
    <t>ACLU9711755</t>
  </si>
  <si>
    <t>NABNSE553616</t>
  </si>
  <si>
    <t>ACLUSA01228050</t>
  </si>
  <si>
    <t>133928</t>
  </si>
  <si>
    <t>Goteborg, SE</t>
  </si>
  <si>
    <t>S25120149719</t>
  </si>
  <si>
    <t>YUET CHUNG METALWARE MANUFACTORY LTD</t>
  </si>
  <si>
    <t>YMMU7017424</t>
  </si>
  <si>
    <t>SHKG7269465</t>
  </si>
  <si>
    <t>YMJAE300683643</t>
  </si>
  <si>
    <t>616999</t>
  </si>
  <si>
    <t>S25120149794</t>
  </si>
  <si>
    <t>ARCELORMITTAL</t>
  </si>
  <si>
    <t>HLBU1046320</t>
  </si>
  <si>
    <t>HLBU3794845</t>
  </si>
  <si>
    <t>MEWDFR25012658</t>
  </si>
  <si>
    <t>HLCULE1251202965</t>
  </si>
  <si>
    <t>FR25012658</t>
  </si>
  <si>
    <t>Antwerpen, BE</t>
  </si>
  <si>
    <t>S25120149783</t>
  </si>
  <si>
    <t>CHIN PECH CO, LTD</t>
  </si>
  <si>
    <t>EITU1478549</t>
  </si>
  <si>
    <t>SSZX7305870</t>
  </si>
  <si>
    <t>EGLV010501226379</t>
  </si>
  <si>
    <t>617220</t>
  </si>
  <si>
    <t>S25120149792</t>
  </si>
  <si>
    <t>HMMU2153420</t>
  </si>
  <si>
    <t>TEMU1972743</t>
  </si>
  <si>
    <t>SSZX7311587</t>
  </si>
  <si>
    <t>HDMUHKGM30031200</t>
  </si>
  <si>
    <t>606912/612396</t>
  </si>
  <si>
    <t>OGF</t>
  </si>
  <si>
    <t>RTN</t>
  </si>
  <si>
    <t>S25120150510</t>
  </si>
  <si>
    <t>ZHANGZHOU AILALI FURNITURE CO LTD</t>
  </si>
  <si>
    <t>YMMU4177877</t>
  </si>
  <si>
    <t>YMJAW237272900</t>
  </si>
  <si>
    <t>YS2511001-3</t>
  </si>
  <si>
    <t>S25120150481</t>
  </si>
  <si>
    <t>GAOU6604523</t>
  </si>
  <si>
    <t>TRHU5888866</t>
  </si>
  <si>
    <t>SSHA7314788</t>
  </si>
  <si>
    <t>ONEYSHAFAY859500</t>
  </si>
  <si>
    <t>NAT-M-20251218-1</t>
  </si>
  <si>
    <t>S25120150903</t>
  </si>
  <si>
    <t>OOCU4948875</t>
  </si>
  <si>
    <t>SSHA7319978</t>
  </si>
  <si>
    <t>OOLU2164790090</t>
  </si>
  <si>
    <t>NAT-M-20251218-3</t>
  </si>
  <si>
    <t>S25120151108</t>
  </si>
  <si>
    <t>ONEU2136116</t>
  </si>
  <si>
    <t>ONEU6297823</t>
  </si>
  <si>
    <t>SSHA7314866</t>
  </si>
  <si>
    <t>ONEYSHAFBE532600</t>
  </si>
  <si>
    <t>YS2511004-2</t>
  </si>
  <si>
    <t>Oakland, CA</t>
  </si>
  <si>
    <t>S25120150935</t>
  </si>
  <si>
    <t>DFSU4347033</t>
  </si>
  <si>
    <t>STPE7303480</t>
  </si>
  <si>
    <t>OOLU2317348410</t>
  </si>
  <si>
    <t>251023-4, 251023-5, 251023-2</t>
  </si>
  <si>
    <t>S25120150904</t>
  </si>
  <si>
    <t>TEMU4866030</t>
  </si>
  <si>
    <t>OOCU4938970</t>
  </si>
  <si>
    <t>SSHA7322881</t>
  </si>
  <si>
    <t>OOLU2165088510</t>
  </si>
  <si>
    <t>YS2511002-3</t>
  </si>
  <si>
    <t>S25120150684</t>
  </si>
  <si>
    <t>TEMU6767783</t>
  </si>
  <si>
    <t>615932, 615935, 615936</t>
  </si>
  <si>
    <t>S25120151104</t>
  </si>
  <si>
    <t>JXJU3273121</t>
  </si>
  <si>
    <t>SSZX7325631</t>
  </si>
  <si>
    <t>ZIMUSHH32010007</t>
  </si>
  <si>
    <t>S25120150793</t>
  </si>
  <si>
    <t>TRHU1138272</t>
  </si>
  <si>
    <t>SANDOLLY INTERNATIONAL CO, LTD</t>
  </si>
  <si>
    <t>HMMU4081700</t>
  </si>
  <si>
    <t>SSZX7325718</t>
  </si>
  <si>
    <t>HDMUHKGM59812000</t>
  </si>
  <si>
    <t>851290</t>
  </si>
  <si>
    <t>RAILP</t>
  </si>
  <si>
    <t>SSHA7311545</t>
  </si>
  <si>
    <t>S26010151249</t>
  </si>
  <si>
    <t>BSLU2411229</t>
  </si>
  <si>
    <t>SSHA7308117</t>
  </si>
  <si>
    <t>COSU6438761500</t>
  </si>
  <si>
    <t>tba</t>
  </si>
  <si>
    <t>S26010151250</t>
  </si>
  <si>
    <t>S26010151251</t>
  </si>
  <si>
    <t>S26010151252</t>
  </si>
  <si>
    <t>CIMU0572419</t>
  </si>
  <si>
    <t>SSHA7310332</t>
  </si>
  <si>
    <t>SSHA7310333</t>
  </si>
  <si>
    <t>SSHA7310334</t>
  </si>
  <si>
    <t>S26010151253</t>
  </si>
  <si>
    <t>SSHA7310335</t>
  </si>
  <si>
    <t>S26010151272</t>
  </si>
  <si>
    <t>OOCU7335590</t>
  </si>
  <si>
    <t>COSU6439943390</t>
  </si>
  <si>
    <t>BY CONSOL</t>
  </si>
  <si>
    <t>SMMBSSHA7311773</t>
  </si>
  <si>
    <t>S26010151986</t>
  </si>
  <si>
    <t>KOREA STAPLES</t>
  </si>
  <si>
    <t>UETU6423906</t>
  </si>
  <si>
    <t>SMMBKRNM01260053</t>
  </si>
  <si>
    <t>COSU6439962460</t>
  </si>
  <si>
    <t>208283, 211069</t>
  </si>
  <si>
    <t>Santa Teresa, NM</t>
  </si>
  <si>
    <t>S26010152085</t>
  </si>
  <si>
    <t>JXLU6189988</t>
  </si>
  <si>
    <t>ZIMU1289788</t>
  </si>
  <si>
    <t>ZIMUSEL71194635</t>
  </si>
  <si>
    <t>SERA251127TR</t>
  </si>
  <si>
    <t>S26010152038</t>
  </si>
  <si>
    <t>CAAU8029720</t>
  </si>
  <si>
    <t>SMMBKRTX01260121</t>
  </si>
  <si>
    <t>SMLMSEL5M1956302</t>
  </si>
  <si>
    <t>SERA251229TR</t>
  </si>
  <si>
    <t>S26010152036</t>
  </si>
  <si>
    <t>S26010152074</t>
  </si>
  <si>
    <t>S26010152075</t>
  </si>
  <si>
    <t>S26010152076</t>
  </si>
  <si>
    <t>TRHU5987370</t>
  </si>
  <si>
    <t>GAOU6092978</t>
  </si>
  <si>
    <t>GCXU5009981</t>
  </si>
  <si>
    <t>BSIU3269330</t>
  </si>
  <si>
    <t>ZCSU7365280</t>
  </si>
  <si>
    <t>TLLU5387563</t>
  </si>
  <si>
    <t>ZCSU7352282</t>
  </si>
  <si>
    <t>SSHA7330801</t>
  </si>
  <si>
    <t>OOLU8811295260</t>
  </si>
  <si>
    <t>YS2511002-4</t>
  </si>
  <si>
    <t>ZIMUSEL71194794</t>
  </si>
  <si>
    <t>SERA251204TR</t>
  </si>
  <si>
    <t>ZIMUSEL71194801</t>
  </si>
  <si>
    <t>SERA251211TR</t>
  </si>
  <si>
    <t>ZIMUSEL71195636</t>
  </si>
  <si>
    <t>SERA251224TR</t>
  </si>
  <si>
    <t>S26010152077</t>
  </si>
  <si>
    <t>CAAU9520260</t>
  </si>
  <si>
    <t>ZIMUSEL71195637</t>
  </si>
  <si>
    <t>SERA251218TR</t>
  </si>
  <si>
    <t>ZIMU3192713</t>
  </si>
  <si>
    <t>S26010152078</t>
  </si>
  <si>
    <t>JXLU6435778</t>
  </si>
  <si>
    <t>ZIMUSEL71196285</t>
  </si>
  <si>
    <t>SI25001235 / MDEJBA589626</t>
  </si>
  <si>
    <t>MDEJBA589626 /  ZIMUGOA1087255</t>
  </si>
  <si>
    <t>AVAILABLE</t>
  </si>
  <si>
    <t>RAIL</t>
  </si>
  <si>
    <t>S26010152700</t>
  </si>
  <si>
    <t>JXLU4395001</t>
  </si>
  <si>
    <t>ZIMUSHH32023817</t>
  </si>
  <si>
    <t>617220/618614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</si>
</sst>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Bahnschrift"/>
      <family val="2"/>
    </font>
    <font>
      <b/>
      <sz val="11"/>
      <color theme="0"/>
      <name val="Bahnschrift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6" xfId="1" applyBorder="1"/>
    <xf numFmtId="0" fontId="5" fillId="3" borderId="3" xfId="0" applyFont="1" applyFill="1" applyBorder="1" applyAlignment="1">
      <alignment horizontal="center" vertical="top" wrapText="1"/>
    </xf>
    <xf numFmtId="14" fontId="5" fillId="3" borderId="3" xfId="0" applyNumberFormat="1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left"/>
    </xf>
    <xf numFmtId="0" fontId="6" fillId="0" borderId="1" xfId="0" applyFont="1" applyBorder="1"/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right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1" fillId="2" borderId="0" xfId="0" applyNumberFormat="1" applyFont="1" applyFill="1" applyAlignment="1">
      <alignment horizontal="center" vertical="top"/>
    </xf>
    <xf numFmtId="14" fontId="7" fillId="0" borderId="3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2" fillId="0" borderId="5" xfId="1" applyBorder="1"/>
    <xf numFmtId="0" fontId="2" fillId="0" borderId="7" xfId="1" applyBorder="1"/>
    <xf numFmtId="3" fontId="6" fillId="0" borderId="1" xfId="0" applyNumberFormat="1" applyFont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4" fillId="3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8" xfId="1" applyBorder="1"/>
    <xf numFmtId="14" fontId="6" fillId="0" borderId="3" xfId="0" applyNumberFormat="1" applyFont="1" applyBorder="1"/>
    <xf numFmtId="0" fontId="5" fillId="3" borderId="3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1" applyBorder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1" xfId="1" applyBorder="1"/>
    <xf numFmtId="0" fontId="7" fillId="0" borderId="1" xfId="0" applyFont="1" applyBorder="1" applyAlignment="1">
      <alignment horizontal="left"/>
    </xf>
    <xf numFmtId="0" fontId="0" fillId="0" borderId="6" xfId="0" applyBorder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14" fontId="6" fillId="0" borderId="3" xfId="0" applyNumberFormat="1" applyFont="1" applyBorder="1" applyAlignment="1">
      <alignment horizontal="right"/>
    </xf>
    <xf numFmtId="14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4" fontId="6" fillId="0" borderId="3" xfId="0" applyNumberFormat="1" applyFont="1" applyBorder="1" applyAlignment="1">
      <alignment horizontal="left"/>
    </xf>
    <xf numFmtId="14" fontId="7" fillId="0" borderId="1" xfId="0" applyNumberFormat="1" applyFont="1" applyBorder="1"/>
    <xf numFmtId="14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4" fillId="3" borderId="2" xfId="0" applyFont="1" applyFill="1" applyBorder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0" fillId="0" borderId="5" xfId="0" applyBorder="1" applyAlignment="1">
      <alignment horizontal="left"/>
    </xf>
    <xf numFmtId="0" fontId="0" fillId="0" borderId="3" xfId="0" applyBorder="1"/>
    <xf numFmtId="14" fontId="7" fillId="0" borderId="3" xfId="0" applyNumberFormat="1" applyFont="1" applyBorder="1"/>
    <xf numFmtId="0" fontId="7" fillId="0" borderId="3" xfId="0" applyFont="1" applyBorder="1" applyAlignment="1">
      <alignment horizontal="left"/>
    </xf>
    <xf numFmtId="14" fontId="7" fillId="0" borderId="3" xfId="0" applyNumberFormat="1" applyFont="1" applyBorder="1" applyAlignment="1">
      <alignment horizontal="right"/>
    </xf>
    <xf numFmtId="0" fontId="7" fillId="0" borderId="3" xfId="0" applyFont="1" applyBorder="1"/>
  </cellXfs>
  <cellStyles count="2">
    <cellStyle name="Hyperlink" xfId="1" builtinId="8"/>
    <cellStyle name="Normal" xfId="0" builtinId="0"/>
  </cellStyles>
  <dxfs count="203">
    <dxf>
      <fill>
        <patternFill>
          <bgColor rgb="FF66FF33"/>
        </patternFill>
      </fill>
    </dxf>
    <dxf>
      <fill>
        <patternFill>
          <bgColor rgb="FF1AD6CD"/>
        </patternFill>
      </fill>
    </dxf>
    <dxf>
      <fill>
        <patternFill>
          <bgColor theme="0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02AE9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9B1E4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69FF1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9A4E4"/>
        </patternFill>
      </fill>
    </dxf>
    <dxf>
      <fill>
        <patternFill>
          <bgColor rgb="FF1AD6CD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9B1E4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69FF1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2AE9E"/>
        </patternFill>
      </fill>
    </dxf>
    <dxf>
      <fill>
        <patternFill>
          <bgColor theme="8" tint="0.59996337778862885"/>
        </patternFill>
      </fill>
    </dxf>
    <dxf>
      <fill>
        <patternFill>
          <bgColor rgb="FF1AD6CD"/>
        </patternFill>
      </fill>
    </dxf>
    <dxf>
      <fill>
        <patternFill>
          <bgColor rgb="FF69FF1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ill>
        <patternFill>
          <bgColor rgb="FFF9B1E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2AE9E"/>
        </patternFill>
      </fill>
    </dxf>
    <dxf>
      <fill>
        <patternFill>
          <bgColor rgb="FFC9A4E4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5E285E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1AD6CD"/>
        </patternFill>
      </fill>
    </dxf>
    <dxf>
      <fill>
        <patternFill>
          <bgColor rgb="FFC9A4E4"/>
        </patternFill>
      </fill>
    </dxf>
    <dxf>
      <fill>
        <patternFill>
          <bgColor rgb="FF02AE9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CCFF"/>
        </patternFill>
      </fill>
    </dxf>
    <dxf>
      <fill>
        <patternFill>
          <bgColor theme="0" tint="-0.24994659260841701"/>
        </patternFill>
      </fill>
    </dxf>
    <dxf>
      <fill>
        <patternFill>
          <bgColor rgb="FF69FF1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9B1E4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b/>
        <i val="0"/>
        <color theme="8" tint="0.39994506668294322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3399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009999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ont>
        <color auto="1"/>
      </font>
      <fill>
        <patternFill>
          <bgColor rgb="FF00CCFF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 patternType="none">
          <bgColor auto="1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 patternType="solid">
          <bgColor theme="8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9" tint="-0.499984740745262"/>
      </font>
      <fill>
        <patternFill patternType="solid">
          <bgColor theme="0" tint="-0.2499465926084170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499984740745262"/>
      </font>
      <fill>
        <patternFill patternType="solid">
          <bgColor rgb="FF00FF00"/>
        </patternFill>
      </fill>
    </dxf>
    <dxf>
      <font>
        <b/>
        <i val="0"/>
        <color theme="9" tint="-0.499984740745262"/>
      </font>
      <fill>
        <patternFill patternType="solid">
          <bgColor theme="9" tint="0.59996337778862885"/>
        </patternFill>
      </fill>
    </dxf>
    <dxf>
      <font>
        <b/>
        <i val="0"/>
        <color theme="9" tint="-0.499984740745262"/>
      </font>
      <fill>
        <patternFill patternType="solid">
          <bgColor theme="9"/>
        </patternFill>
      </fill>
    </dxf>
    <dxf>
      <font>
        <color auto="1"/>
      </font>
      <fill>
        <patternFill>
          <bgColor rgb="FF0099FF"/>
        </patternFill>
      </fill>
    </dxf>
    <dxf>
      <font>
        <b/>
        <i val="0"/>
        <color auto="1"/>
      </font>
      <fill>
        <patternFill patternType="solid">
          <bgColor rgb="FFE5AEE6"/>
        </patternFill>
      </fill>
    </dxf>
    <dxf>
      <font>
        <b val="0"/>
        <i val="0"/>
        <color auto="1"/>
      </font>
      <fill>
        <patternFill patternType="solid">
          <bgColor rgb="FFF1D6F2"/>
        </patternFill>
      </fill>
    </dxf>
    <dxf>
      <font>
        <b val="0"/>
        <i val="0"/>
        <color auto="1"/>
      </font>
      <fill>
        <patternFill patternType="solid">
          <bgColor rgb="FFFAF4F9"/>
        </patternFill>
      </fill>
    </dxf>
    <dxf>
      <font>
        <color auto="1"/>
      </font>
      <fill>
        <patternFill>
          <bgColor rgb="FF16E0B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ont>
        <b/>
        <i val="0"/>
        <color theme="9" tint="-0.499984740745262"/>
      </font>
      <fill>
        <patternFill patternType="solid"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69FF1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ill>
        <patternFill>
          <bgColor rgb="FFF9B1E4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2AE9E"/>
        </patternFill>
      </fill>
    </dxf>
    <dxf>
      <fill>
        <patternFill>
          <bgColor rgb="FFC9A4E4"/>
        </patternFill>
      </fill>
    </dxf>
    <dxf>
      <fill>
        <patternFill>
          <bgColor rgb="FF1AD6CD"/>
        </patternFill>
      </fill>
    </dxf>
    <dxf>
      <fill>
        <patternFill>
          <bgColor rgb="FFFFC000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69FF15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ill>
        <patternFill>
          <bgColor rgb="FFF9B1E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2AE9E"/>
        </patternFill>
      </fill>
    </dxf>
    <dxf>
      <fill>
        <patternFill>
          <bgColor rgb="FFC9A4E4"/>
        </patternFill>
      </fill>
    </dxf>
    <dxf>
      <fill>
        <patternFill>
          <bgColor rgb="FF1AD6CD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69FF15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ill>
        <patternFill>
          <bgColor rgb="FFF9B1E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2AE9E"/>
        </patternFill>
      </fill>
    </dxf>
    <dxf>
      <fill>
        <patternFill>
          <bgColor rgb="FFC9A4E4"/>
        </patternFill>
      </fill>
    </dxf>
    <dxf>
      <fill>
        <patternFill>
          <bgColor rgb="FF1AD6CD"/>
        </patternFill>
      </fill>
    </dxf>
    <dxf>
      <fill>
        <patternFill>
          <bgColor rgb="FF1AD6CD"/>
        </patternFill>
      </fill>
    </dxf>
    <dxf>
      <fill>
        <patternFill>
          <bgColor rgb="FF02AE9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9B1E4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69FF1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C9A4E4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9B1E4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69FF1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1AD6CD"/>
        </patternFill>
      </fill>
    </dxf>
    <dxf>
      <fill>
        <patternFill>
          <bgColor rgb="FFC9A4E4"/>
        </patternFill>
      </fill>
    </dxf>
    <dxf>
      <fill>
        <patternFill>
          <bgColor rgb="FF02AE9E"/>
        </patternFill>
      </fill>
    </dxf>
    <dxf>
      <font>
        <b/>
        <i val="0"/>
        <color theme="0"/>
      </font>
      <fill>
        <patternFill>
          <bgColor rgb="FF5E285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>
          <bgColor rgb="FF02AE9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9B1E4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8" tint="-0.2499465926084170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69FF1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1AD6CD"/>
        </patternFill>
      </fill>
    </dxf>
    <dxf>
      <fill>
        <patternFill>
          <bgColor rgb="FFC9A4E4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CCFF"/>
      <color rgb="FF33CCCC"/>
      <color rgb="FFFF66FF"/>
      <color rgb="FFFF7C80"/>
      <color rgb="FFFF5050"/>
      <color rgb="FFFF9966"/>
      <color rgb="FFA8A5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1154641</xdr:colOff>
      <xdr:row>1</xdr:row>
      <xdr:rowOff>355396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DC3A2E-3B9F-482D-ADE4-05743185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844" y="190500"/>
          <a:ext cx="1154641" cy="355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0908-10BD-402D-99E5-C56ABF4A34C8}">
  <sheetPr codeName="Sheet1"/>
  <dimension ref="A1:Z79"/>
  <sheetViews>
    <sheetView tabSelected="1" topLeftCell="I1" zoomScale="80" zoomScaleNormal="80" workbookViewId="0">
      <pane ySplit="4" topLeftCell="A5" activePane="bottomLeft" state="frozen"/>
      <selection pane="bottomLeft" activeCell="W108" sqref="W108"/>
    </sheetView>
  </sheetViews>
  <sheetFormatPr defaultRowHeight="15" x14ac:dyDescent="0.25"/>
  <cols>
    <col min="1" max="1" width="19.42578125" customWidth="1"/>
    <col min="2" max="2" width="9.42578125" customWidth="1"/>
    <col min="3" max="3" width="39.140625" customWidth="1"/>
    <col min="4" max="4" width="49.42578125" bestFit="1" customWidth="1"/>
    <col min="5" max="5" width="19.5703125" customWidth="1"/>
    <col min="6" max="6" width="6.42578125" customWidth="1"/>
    <col min="7" max="7" width="20.5703125" customWidth="1"/>
    <col min="8" max="8" width="23.5703125" bestFit="1" customWidth="1"/>
    <col min="9" max="9" width="48.7109375" bestFit="1" customWidth="1"/>
    <col min="10" max="10" width="23.28515625" customWidth="1"/>
    <col min="11" max="11" width="21.42578125" style="42" customWidth="1"/>
    <col min="12" max="12" width="15.85546875" style="16" bestFit="1" customWidth="1"/>
    <col min="13" max="13" width="15.42578125" bestFit="1" customWidth="1"/>
    <col min="14" max="15" width="16.7109375" customWidth="1"/>
    <col min="16" max="18" width="14.85546875" style="16" customWidth="1"/>
    <col min="19" max="19" width="15.7109375" style="18" bestFit="1" customWidth="1"/>
    <col min="20" max="20" width="15" style="16" bestFit="1" customWidth="1"/>
    <col min="21" max="21" width="20.85546875" style="16" bestFit="1" customWidth="1"/>
    <col min="22" max="22" width="13" style="16" customWidth="1"/>
    <col min="23" max="23" width="15.42578125" style="16" customWidth="1"/>
    <col min="24" max="24" width="18" style="16" customWidth="1"/>
    <col min="25" max="25" width="17.85546875" style="16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41"/>
      <c r="L1" s="14"/>
      <c r="M1" s="1"/>
      <c r="N1" s="1"/>
      <c r="O1" s="1"/>
      <c r="P1" s="14"/>
      <c r="Q1" s="14"/>
      <c r="R1" s="14"/>
      <c r="S1" s="17"/>
      <c r="T1" s="14"/>
      <c r="U1" s="14"/>
      <c r="V1" s="14"/>
      <c r="W1" s="14"/>
      <c r="X1" s="14"/>
      <c r="Y1" s="14"/>
    </row>
    <row r="2" spans="1:26" ht="29.25" customHeight="1" x14ac:dyDescent="0.25">
      <c r="A2" s="1"/>
      <c r="B2" s="1"/>
      <c r="C2" s="1"/>
      <c r="D2" s="1"/>
      <c r="G2" s="1"/>
      <c r="H2" s="1"/>
      <c r="I2" s="55" t="s">
        <v>31</v>
      </c>
      <c r="J2" s="56"/>
      <c r="K2" s="56"/>
      <c r="L2" s="56"/>
      <c r="M2" s="56"/>
      <c r="N2" s="56"/>
      <c r="O2" s="27"/>
      <c r="P2" s="19">
        <f ca="1">TODAY()</f>
        <v>46043</v>
      </c>
      <c r="Q2" s="19"/>
      <c r="R2" s="19"/>
      <c r="S2" s="17"/>
      <c r="T2" s="14"/>
      <c r="U2" s="14"/>
      <c r="V2" s="14"/>
      <c r="W2" s="14"/>
      <c r="X2" s="14"/>
      <c r="Y2" s="14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41"/>
      <c r="L3" s="14"/>
      <c r="M3" s="1"/>
      <c r="N3" s="1"/>
      <c r="O3" s="1"/>
      <c r="P3" s="14"/>
      <c r="Q3" s="14"/>
      <c r="R3" s="14"/>
      <c r="S3" s="17"/>
      <c r="T3" s="14"/>
      <c r="U3" s="14"/>
      <c r="V3" s="14"/>
      <c r="W3" s="14"/>
      <c r="X3" s="14"/>
      <c r="Y3" s="14"/>
    </row>
    <row r="4" spans="1:26" ht="45" x14ac:dyDescent="0.25">
      <c r="A4" s="6" t="s">
        <v>9</v>
      </c>
      <c r="B4" s="6" t="s">
        <v>0</v>
      </c>
      <c r="C4" s="6" t="s">
        <v>12</v>
      </c>
      <c r="D4" s="6" t="s">
        <v>19</v>
      </c>
      <c r="E4" s="6" t="s">
        <v>1</v>
      </c>
      <c r="F4" s="6" t="s">
        <v>2</v>
      </c>
      <c r="G4" s="6" t="s">
        <v>3</v>
      </c>
      <c r="H4" s="6" t="s">
        <v>18</v>
      </c>
      <c r="I4" s="6" t="s">
        <v>4</v>
      </c>
      <c r="J4" s="6" t="s">
        <v>13</v>
      </c>
      <c r="K4" s="6" t="s">
        <v>14</v>
      </c>
      <c r="L4" s="7" t="s">
        <v>5</v>
      </c>
      <c r="M4" s="6" t="s">
        <v>6</v>
      </c>
      <c r="N4" s="6" t="s">
        <v>7</v>
      </c>
      <c r="O4" s="33" t="s">
        <v>144</v>
      </c>
      <c r="P4" s="35" t="s">
        <v>10</v>
      </c>
      <c r="Q4" s="28" t="s">
        <v>145</v>
      </c>
      <c r="R4" s="29" t="s">
        <v>162</v>
      </c>
      <c r="S4" s="33" t="s">
        <v>161</v>
      </c>
      <c r="T4" s="34" t="s">
        <v>160</v>
      </c>
      <c r="U4" s="35" t="s">
        <v>164</v>
      </c>
      <c r="V4" s="35" t="s">
        <v>163</v>
      </c>
      <c r="W4" s="35" t="s">
        <v>8</v>
      </c>
      <c r="X4" s="35" t="s">
        <v>159</v>
      </c>
      <c r="Y4" s="35" t="s">
        <v>29</v>
      </c>
    </row>
    <row r="5" spans="1:26" x14ac:dyDescent="0.25">
      <c r="A5" s="23" t="s">
        <v>32</v>
      </c>
      <c r="B5" s="8" t="s">
        <v>22</v>
      </c>
      <c r="C5" s="9" t="s">
        <v>33</v>
      </c>
      <c r="D5" s="9" t="s">
        <v>34</v>
      </c>
      <c r="E5" s="9" t="s">
        <v>35</v>
      </c>
      <c r="F5" s="9" t="s">
        <v>22</v>
      </c>
      <c r="G5" s="30" t="s">
        <v>36</v>
      </c>
      <c r="H5" s="30" t="s">
        <v>37</v>
      </c>
      <c r="I5" s="11" t="s">
        <v>38</v>
      </c>
      <c r="J5" s="12">
        <v>45976</v>
      </c>
      <c r="K5" s="11" t="s">
        <v>21</v>
      </c>
      <c r="L5" s="13">
        <v>45992.1875</v>
      </c>
      <c r="M5" s="11" t="s">
        <v>17</v>
      </c>
      <c r="N5" s="11" t="s">
        <v>24</v>
      </c>
      <c r="O5" s="11" t="s">
        <v>23</v>
      </c>
      <c r="P5" s="20">
        <v>46001</v>
      </c>
      <c r="Q5" s="20">
        <v>45996</v>
      </c>
      <c r="R5" s="22">
        <v>46000</v>
      </c>
      <c r="S5" s="22">
        <v>46000</v>
      </c>
      <c r="T5" s="21">
        <v>46001</v>
      </c>
      <c r="U5" s="22">
        <v>46001</v>
      </c>
      <c r="V5" s="22">
        <v>46001</v>
      </c>
      <c r="W5" s="22" t="s">
        <v>146</v>
      </c>
      <c r="X5" s="22">
        <v>46004</v>
      </c>
      <c r="Y5" s="38" t="s">
        <v>146</v>
      </c>
      <c r="Z5" s="36"/>
    </row>
    <row r="6" spans="1:26" x14ac:dyDescent="0.25">
      <c r="A6" s="23" t="s">
        <v>45</v>
      </c>
      <c r="B6" s="8" t="s">
        <v>199</v>
      </c>
      <c r="C6" s="9" t="s">
        <v>33</v>
      </c>
      <c r="D6" s="9" t="s">
        <v>49</v>
      </c>
      <c r="E6" s="9" t="s">
        <v>50</v>
      </c>
      <c r="F6" s="9" t="s">
        <v>11</v>
      </c>
      <c r="G6" s="30" t="s">
        <v>55</v>
      </c>
      <c r="H6" s="30" t="s">
        <v>55</v>
      </c>
      <c r="I6" s="11" t="s">
        <v>56</v>
      </c>
      <c r="J6" s="12">
        <v>45971</v>
      </c>
      <c r="K6" s="11" t="s">
        <v>15</v>
      </c>
      <c r="L6" s="13">
        <v>46004</v>
      </c>
      <c r="M6" s="9" t="s">
        <v>23</v>
      </c>
      <c r="N6" s="9" t="s">
        <v>24</v>
      </c>
      <c r="O6" s="9" t="s">
        <v>23</v>
      </c>
      <c r="P6" s="20">
        <v>46007.462500000001</v>
      </c>
      <c r="Q6" s="51"/>
      <c r="R6" s="22"/>
      <c r="S6" s="22">
        <v>46007</v>
      </c>
      <c r="T6" s="21">
        <v>46007.462500000001</v>
      </c>
      <c r="U6" s="22">
        <v>46007.462500000001</v>
      </c>
      <c r="V6" s="22">
        <v>46007.462500000001</v>
      </c>
      <c r="W6" s="22">
        <v>46009</v>
      </c>
      <c r="X6" s="22">
        <v>46010</v>
      </c>
      <c r="Y6" s="22">
        <v>46016.462500000001</v>
      </c>
      <c r="Z6" s="37"/>
    </row>
    <row r="7" spans="1:26" x14ac:dyDescent="0.25">
      <c r="A7" s="24" t="s">
        <v>44</v>
      </c>
      <c r="B7" s="8" t="s">
        <v>198</v>
      </c>
      <c r="C7" s="9" t="s">
        <v>33</v>
      </c>
      <c r="D7" s="9" t="s">
        <v>47</v>
      </c>
      <c r="E7" s="9" t="s">
        <v>48</v>
      </c>
      <c r="F7" s="9" t="s">
        <v>11</v>
      </c>
      <c r="G7" s="30" t="s">
        <v>53</v>
      </c>
      <c r="H7" s="30" t="s">
        <v>53</v>
      </c>
      <c r="I7" s="11" t="s">
        <v>54</v>
      </c>
      <c r="J7" s="12">
        <v>45971</v>
      </c>
      <c r="K7" s="11" t="s">
        <v>15</v>
      </c>
      <c r="L7" s="13">
        <v>46004</v>
      </c>
      <c r="M7" s="11" t="s">
        <v>23</v>
      </c>
      <c r="N7" s="11" t="s">
        <v>24</v>
      </c>
      <c r="O7" s="11" t="s">
        <v>23</v>
      </c>
      <c r="P7" s="20">
        <v>46007.51666666667</v>
      </c>
      <c r="Q7" s="38"/>
      <c r="R7" s="22"/>
      <c r="S7" s="22">
        <v>46007</v>
      </c>
      <c r="T7" s="21">
        <v>46007.51666666667</v>
      </c>
      <c r="U7" s="22">
        <v>46007.51666666667</v>
      </c>
      <c r="V7" s="22">
        <v>46007.51666666667</v>
      </c>
      <c r="W7" s="22"/>
      <c r="X7" s="22">
        <v>46010</v>
      </c>
      <c r="Y7" s="22">
        <v>46016.51666666667</v>
      </c>
      <c r="Z7" s="37"/>
    </row>
    <row r="8" spans="1:26" x14ac:dyDescent="0.25">
      <c r="A8" s="5" t="s">
        <v>61</v>
      </c>
      <c r="B8" s="8" t="s">
        <v>199</v>
      </c>
      <c r="C8" s="9" t="s">
        <v>33</v>
      </c>
      <c r="D8" s="9" t="s">
        <v>62</v>
      </c>
      <c r="E8" s="9" t="s">
        <v>63</v>
      </c>
      <c r="F8" s="9" t="s">
        <v>11</v>
      </c>
      <c r="G8" s="30" t="s">
        <v>64</v>
      </c>
      <c r="H8" s="30" t="s">
        <v>65</v>
      </c>
      <c r="I8" s="11" t="s">
        <v>114</v>
      </c>
      <c r="J8" s="12">
        <v>45979</v>
      </c>
      <c r="K8" s="11" t="s">
        <v>66</v>
      </c>
      <c r="L8" s="13">
        <v>46004</v>
      </c>
      <c r="M8" s="11" t="s">
        <v>23</v>
      </c>
      <c r="N8" s="11" t="s">
        <v>24</v>
      </c>
      <c r="O8" s="11" t="s">
        <v>23</v>
      </c>
      <c r="P8" s="20">
        <v>46007.347916666666</v>
      </c>
      <c r="Q8" s="22"/>
      <c r="R8" s="22"/>
      <c r="S8" s="22">
        <v>46007</v>
      </c>
      <c r="T8" s="21">
        <v>46007.347916666666</v>
      </c>
      <c r="U8" s="22">
        <v>46007.347916666666</v>
      </c>
      <c r="V8" s="22">
        <v>46007.347916666666</v>
      </c>
      <c r="W8" s="22">
        <v>46010.398611111108</v>
      </c>
      <c r="X8" s="22">
        <v>46010</v>
      </c>
      <c r="Y8" s="22">
        <v>46016.347916666666</v>
      </c>
      <c r="Z8" s="37"/>
    </row>
    <row r="9" spans="1:26" x14ac:dyDescent="0.25">
      <c r="A9" s="23" t="s">
        <v>39</v>
      </c>
      <c r="B9" s="8" t="s">
        <v>199</v>
      </c>
      <c r="C9" s="9" t="s">
        <v>33</v>
      </c>
      <c r="D9" s="9" t="s">
        <v>40</v>
      </c>
      <c r="E9" s="9" t="s">
        <v>41</v>
      </c>
      <c r="F9" s="9" t="s">
        <v>20</v>
      </c>
      <c r="G9" s="30" t="s">
        <v>42</v>
      </c>
      <c r="H9" s="30" t="s">
        <v>42</v>
      </c>
      <c r="I9" s="25" t="s">
        <v>43</v>
      </c>
      <c r="J9" s="12">
        <v>45985</v>
      </c>
      <c r="K9" s="11" t="s">
        <v>15</v>
      </c>
      <c r="L9" s="13">
        <v>46002.333333333336</v>
      </c>
      <c r="M9" s="9" t="s">
        <v>17</v>
      </c>
      <c r="N9" s="9" t="s">
        <v>24</v>
      </c>
      <c r="O9" s="9" t="s">
        <v>23</v>
      </c>
      <c r="P9" s="20">
        <v>46013</v>
      </c>
      <c r="Q9" s="22">
        <v>46007</v>
      </c>
      <c r="R9" s="22">
        <v>46011</v>
      </c>
      <c r="S9" s="22">
        <v>46013</v>
      </c>
      <c r="T9" s="21">
        <v>46013</v>
      </c>
      <c r="U9" s="22">
        <v>46013</v>
      </c>
      <c r="V9" s="22">
        <v>46013</v>
      </c>
      <c r="W9" s="22">
        <v>46017</v>
      </c>
      <c r="X9" s="22">
        <v>46013</v>
      </c>
      <c r="Y9" s="22">
        <v>46022</v>
      </c>
      <c r="Z9" s="37"/>
    </row>
    <row r="10" spans="1:26" x14ac:dyDescent="0.25">
      <c r="A10" s="31" t="s">
        <v>46</v>
      </c>
      <c r="B10" s="8" t="s">
        <v>22</v>
      </c>
      <c r="C10" s="9" t="s">
        <v>33</v>
      </c>
      <c r="D10" s="9" t="s">
        <v>51</v>
      </c>
      <c r="E10" s="9" t="s">
        <v>52</v>
      </c>
      <c r="F10" s="9" t="s">
        <v>22</v>
      </c>
      <c r="G10" s="30" t="s">
        <v>57</v>
      </c>
      <c r="H10" s="30" t="s">
        <v>58</v>
      </c>
      <c r="I10" s="11" t="s">
        <v>113</v>
      </c>
      <c r="J10" s="12">
        <v>45983</v>
      </c>
      <c r="K10" s="11" t="s">
        <v>60</v>
      </c>
      <c r="L10" s="13">
        <v>46004</v>
      </c>
      <c r="M10" s="11" t="s">
        <v>28</v>
      </c>
      <c r="N10" s="11" t="s">
        <v>24</v>
      </c>
      <c r="O10" s="11" t="s">
        <v>23</v>
      </c>
      <c r="P10" s="20">
        <v>46021</v>
      </c>
      <c r="Q10" s="22">
        <v>46007</v>
      </c>
      <c r="R10" s="22">
        <v>46014</v>
      </c>
      <c r="S10" s="22">
        <v>46014</v>
      </c>
      <c r="T10" s="21">
        <v>46020</v>
      </c>
      <c r="U10" s="22">
        <v>46021</v>
      </c>
      <c r="V10" s="22">
        <v>46021</v>
      </c>
      <c r="W10" s="22" t="s">
        <v>146</v>
      </c>
      <c r="X10" s="22">
        <v>46021</v>
      </c>
      <c r="Y10" s="22" t="s">
        <v>146</v>
      </c>
      <c r="Z10" s="37"/>
    </row>
    <row r="11" spans="1:26" x14ac:dyDescent="0.25">
      <c r="A11" s="23" t="s">
        <v>73</v>
      </c>
      <c r="B11" s="8" t="s">
        <v>199</v>
      </c>
      <c r="C11" s="9" t="s">
        <v>33</v>
      </c>
      <c r="D11" s="9" t="s">
        <v>74</v>
      </c>
      <c r="E11" s="9" t="s">
        <v>75</v>
      </c>
      <c r="F11" s="9" t="s">
        <v>11</v>
      </c>
      <c r="G11" s="30" t="s">
        <v>77</v>
      </c>
      <c r="H11" s="30" t="s">
        <v>77</v>
      </c>
      <c r="I11" s="11" t="s">
        <v>78</v>
      </c>
      <c r="J11" s="12">
        <v>45985</v>
      </c>
      <c r="K11" s="11" t="s">
        <v>26</v>
      </c>
      <c r="L11" s="13">
        <v>46016</v>
      </c>
      <c r="M11" s="9" t="s">
        <v>23</v>
      </c>
      <c r="N11" s="9" t="s">
        <v>24</v>
      </c>
      <c r="O11" s="9" t="s">
        <v>23</v>
      </c>
      <c r="P11" s="20">
        <v>46024</v>
      </c>
      <c r="Q11" s="22"/>
      <c r="R11" s="22"/>
      <c r="S11" s="22">
        <v>46020</v>
      </c>
      <c r="T11" s="21">
        <v>46021.481249999997</v>
      </c>
      <c r="U11" s="22">
        <v>46024</v>
      </c>
      <c r="V11" s="22">
        <v>46024</v>
      </c>
      <c r="W11" s="22">
        <v>46024.468055555553</v>
      </c>
      <c r="X11" s="22">
        <v>46025</v>
      </c>
      <c r="Y11" s="22">
        <v>46030.481249999997</v>
      </c>
      <c r="Z11" s="37"/>
    </row>
    <row r="12" spans="1:26" x14ac:dyDescent="0.25">
      <c r="A12" s="5" t="s">
        <v>73</v>
      </c>
      <c r="B12" s="26" t="s">
        <v>199</v>
      </c>
      <c r="C12" s="9" t="s">
        <v>33</v>
      </c>
      <c r="D12" s="9" t="s">
        <v>74</v>
      </c>
      <c r="E12" s="9" t="s">
        <v>76</v>
      </c>
      <c r="F12" s="9" t="s">
        <v>11</v>
      </c>
      <c r="G12" s="30" t="s">
        <v>77</v>
      </c>
      <c r="H12" s="30" t="s">
        <v>77</v>
      </c>
      <c r="I12" s="11" t="s">
        <v>78</v>
      </c>
      <c r="J12" s="12">
        <v>45985</v>
      </c>
      <c r="K12" s="11" t="s">
        <v>26</v>
      </c>
      <c r="L12" s="13">
        <v>46016</v>
      </c>
      <c r="M12" s="9" t="s">
        <v>23</v>
      </c>
      <c r="N12" s="9" t="s">
        <v>24</v>
      </c>
      <c r="O12" s="9" t="s">
        <v>23</v>
      </c>
      <c r="P12" s="20">
        <v>46024</v>
      </c>
      <c r="Q12" s="22"/>
      <c r="R12" s="22"/>
      <c r="S12" s="22">
        <v>46020</v>
      </c>
      <c r="T12" s="21">
        <v>46021.447916666664</v>
      </c>
      <c r="U12" s="22">
        <v>46024</v>
      </c>
      <c r="V12" s="22">
        <v>46024</v>
      </c>
      <c r="W12" s="22">
        <v>46027</v>
      </c>
      <c r="X12" s="22">
        <v>46025</v>
      </c>
      <c r="Y12" s="22">
        <v>46030.447916666664</v>
      </c>
      <c r="Z12" s="37"/>
    </row>
    <row r="13" spans="1:26" x14ac:dyDescent="0.25">
      <c r="A13" s="5" t="s">
        <v>67</v>
      </c>
      <c r="B13" s="10" t="s">
        <v>199</v>
      </c>
      <c r="C13" s="9" t="s">
        <v>33</v>
      </c>
      <c r="D13" s="9" t="s">
        <v>68</v>
      </c>
      <c r="E13" s="9" t="s">
        <v>69</v>
      </c>
      <c r="F13" s="9" t="s">
        <v>11</v>
      </c>
      <c r="G13" s="30" t="s">
        <v>70</v>
      </c>
      <c r="H13" s="30" t="s">
        <v>70</v>
      </c>
      <c r="I13" s="11" t="s">
        <v>71</v>
      </c>
      <c r="J13" s="12">
        <v>45994</v>
      </c>
      <c r="K13" s="11" t="s">
        <v>15</v>
      </c>
      <c r="L13" s="13">
        <v>46010</v>
      </c>
      <c r="M13" s="9" t="s">
        <v>17</v>
      </c>
      <c r="N13" s="9" t="s">
        <v>72</v>
      </c>
      <c r="O13" s="9" t="s">
        <v>72</v>
      </c>
      <c r="P13" s="20">
        <v>46028</v>
      </c>
      <c r="Q13" s="22">
        <v>46021</v>
      </c>
      <c r="R13" s="22">
        <v>46023</v>
      </c>
      <c r="S13" s="22">
        <v>46024</v>
      </c>
      <c r="T13" s="21">
        <v>46027</v>
      </c>
      <c r="U13" s="22">
        <v>46028</v>
      </c>
      <c r="V13" s="22">
        <v>46028</v>
      </c>
      <c r="W13" s="22">
        <v>46028</v>
      </c>
      <c r="X13" s="22">
        <v>46025</v>
      </c>
      <c r="Y13" s="22">
        <v>46036</v>
      </c>
      <c r="Z13" s="37"/>
    </row>
    <row r="14" spans="1:26" x14ac:dyDescent="0.25">
      <c r="A14" s="31" t="s">
        <v>84</v>
      </c>
      <c r="B14" s="26" t="s">
        <v>199</v>
      </c>
      <c r="C14" s="9" t="s">
        <v>33</v>
      </c>
      <c r="D14" s="9" t="s">
        <v>40</v>
      </c>
      <c r="E14" s="9" t="s">
        <v>87</v>
      </c>
      <c r="F14" s="9" t="s">
        <v>11</v>
      </c>
      <c r="G14" s="30" t="s">
        <v>90</v>
      </c>
      <c r="H14" s="30" t="s">
        <v>91</v>
      </c>
      <c r="I14" s="11" t="s">
        <v>92</v>
      </c>
      <c r="J14" s="12">
        <v>45987</v>
      </c>
      <c r="K14" s="11" t="s">
        <v>15</v>
      </c>
      <c r="L14" s="13">
        <v>46023</v>
      </c>
      <c r="M14" s="9" t="s">
        <v>23</v>
      </c>
      <c r="N14" s="9" t="s">
        <v>24</v>
      </c>
      <c r="O14" s="9" t="s">
        <v>23</v>
      </c>
      <c r="P14" s="20">
        <v>46030</v>
      </c>
      <c r="Q14" s="22"/>
      <c r="R14" s="22"/>
      <c r="S14" s="22">
        <v>46027</v>
      </c>
      <c r="T14" s="21">
        <v>46030</v>
      </c>
      <c r="U14" s="22">
        <v>46030</v>
      </c>
      <c r="V14" s="22">
        <v>46030</v>
      </c>
      <c r="W14" s="22" t="s">
        <v>146</v>
      </c>
      <c r="X14" s="22">
        <v>46031</v>
      </c>
      <c r="Y14" s="22">
        <v>46039</v>
      </c>
      <c r="Z14" s="37"/>
    </row>
    <row r="15" spans="1:26" x14ac:dyDescent="0.25">
      <c r="A15" s="45" t="s">
        <v>85</v>
      </c>
      <c r="B15" s="45" t="s">
        <v>115</v>
      </c>
      <c r="C15" s="2" t="s">
        <v>33</v>
      </c>
      <c r="D15" s="2" t="s">
        <v>88</v>
      </c>
      <c r="E15" s="2" t="s">
        <v>89</v>
      </c>
      <c r="F15" s="2" t="s">
        <v>11</v>
      </c>
      <c r="G15" s="30" t="s">
        <v>93</v>
      </c>
      <c r="H15" s="30" t="s">
        <v>94</v>
      </c>
      <c r="I15" s="2" t="s">
        <v>59</v>
      </c>
      <c r="J15" s="52">
        <v>45987</v>
      </c>
      <c r="K15" s="44" t="s">
        <v>15</v>
      </c>
      <c r="L15" s="53">
        <v>46023.317361111112</v>
      </c>
      <c r="M15" s="54" t="s">
        <v>23</v>
      </c>
      <c r="N15" s="54" t="s">
        <v>24</v>
      </c>
      <c r="O15" s="54" t="s">
        <v>23</v>
      </c>
      <c r="P15" s="20">
        <v>46030.577777777777</v>
      </c>
      <c r="Q15" s="38"/>
      <c r="R15" s="38"/>
      <c r="S15" s="38">
        <v>46027</v>
      </c>
      <c r="T15" s="38">
        <v>46030.577777777777</v>
      </c>
      <c r="U15" s="38">
        <v>46030.577777777777</v>
      </c>
      <c r="V15" s="38">
        <v>46030.577777777777</v>
      </c>
      <c r="W15" s="38">
        <v>46034</v>
      </c>
      <c r="X15" s="38">
        <v>46031</v>
      </c>
      <c r="Y15" s="38">
        <v>46039.577777777777</v>
      </c>
      <c r="Z15" s="37"/>
    </row>
    <row r="16" spans="1:26" x14ac:dyDescent="0.25">
      <c r="A16" s="5" t="s">
        <v>79</v>
      </c>
      <c r="B16" s="10" t="s">
        <v>199</v>
      </c>
      <c r="C16" s="9" t="s">
        <v>33</v>
      </c>
      <c r="D16" s="9" t="s">
        <v>80</v>
      </c>
      <c r="E16" s="9" t="s">
        <v>81</v>
      </c>
      <c r="F16" s="9" t="s">
        <v>25</v>
      </c>
      <c r="G16" s="30" t="s">
        <v>82</v>
      </c>
      <c r="H16" s="30" t="s">
        <v>82</v>
      </c>
      <c r="I16" s="11" t="s">
        <v>83</v>
      </c>
      <c r="J16" s="12">
        <v>45992</v>
      </c>
      <c r="K16" s="11" t="s">
        <v>27</v>
      </c>
      <c r="L16" s="13">
        <v>46011.333333333336</v>
      </c>
      <c r="M16" s="9" t="s">
        <v>16</v>
      </c>
      <c r="N16" s="9" t="s">
        <v>24</v>
      </c>
      <c r="O16" s="9" t="s">
        <v>23</v>
      </c>
      <c r="P16" s="20">
        <v>46030</v>
      </c>
      <c r="Q16" s="22">
        <v>46024</v>
      </c>
      <c r="R16" s="22">
        <v>46028</v>
      </c>
      <c r="S16" s="22">
        <v>46028</v>
      </c>
      <c r="T16" s="21">
        <v>46030</v>
      </c>
      <c r="U16" s="22">
        <v>46030</v>
      </c>
      <c r="V16" s="22">
        <v>46030</v>
      </c>
      <c r="W16" s="22">
        <v>46034</v>
      </c>
      <c r="X16" s="22">
        <v>46030</v>
      </c>
      <c r="Y16" s="22">
        <v>46039</v>
      </c>
      <c r="Z16" s="37"/>
    </row>
    <row r="17" spans="1:26" x14ac:dyDescent="0.25">
      <c r="A17" s="5" t="s">
        <v>86</v>
      </c>
      <c r="B17" s="10" t="s">
        <v>115</v>
      </c>
      <c r="C17" s="9" t="s">
        <v>33</v>
      </c>
      <c r="D17" s="9" t="s">
        <v>88</v>
      </c>
      <c r="E17" s="9" t="s">
        <v>89</v>
      </c>
      <c r="F17" s="9" t="s">
        <v>11</v>
      </c>
      <c r="G17" s="30" t="s">
        <v>95</v>
      </c>
      <c r="H17" s="30" t="s">
        <v>94</v>
      </c>
      <c r="I17" s="11" t="s">
        <v>59</v>
      </c>
      <c r="J17" s="12">
        <v>45987</v>
      </c>
      <c r="K17" s="11" t="s">
        <v>15</v>
      </c>
      <c r="L17" s="13">
        <v>46023.317361111112</v>
      </c>
      <c r="M17" s="9" t="s">
        <v>23</v>
      </c>
      <c r="N17" s="9" t="s">
        <v>24</v>
      </c>
      <c r="O17" s="9" t="s">
        <v>23</v>
      </c>
      <c r="P17" s="20">
        <v>46030.577777777777</v>
      </c>
      <c r="Q17" s="22"/>
      <c r="R17" s="22"/>
      <c r="S17" s="22">
        <v>46028</v>
      </c>
      <c r="T17" s="21">
        <v>46030.577777777777</v>
      </c>
      <c r="U17" s="22">
        <v>46030.577777777777</v>
      </c>
      <c r="V17" s="22">
        <v>46030.577777777777</v>
      </c>
      <c r="W17" s="22">
        <v>46034</v>
      </c>
      <c r="X17" s="22">
        <v>46031</v>
      </c>
      <c r="Y17" s="22">
        <v>46039.577777777777</v>
      </c>
      <c r="Z17" s="37"/>
    </row>
    <row r="18" spans="1:26" x14ac:dyDescent="0.25">
      <c r="A18" s="23" t="s">
        <v>172</v>
      </c>
      <c r="B18" s="10" t="s">
        <v>22</v>
      </c>
      <c r="C18" s="9" t="s">
        <v>33</v>
      </c>
      <c r="D18" s="9" t="s">
        <v>173</v>
      </c>
      <c r="E18" s="9" t="s">
        <v>174</v>
      </c>
      <c r="F18" s="9" t="s">
        <v>11</v>
      </c>
      <c r="G18" s="30" t="s">
        <v>175</v>
      </c>
      <c r="H18" s="30" t="s">
        <v>176</v>
      </c>
      <c r="I18" s="11" t="s">
        <v>177</v>
      </c>
      <c r="J18" s="12">
        <v>45981</v>
      </c>
      <c r="K18" s="11" t="s">
        <v>15</v>
      </c>
      <c r="L18" s="13">
        <v>46026</v>
      </c>
      <c r="M18" s="9" t="s">
        <v>23</v>
      </c>
      <c r="N18" s="9" t="s">
        <v>24</v>
      </c>
      <c r="O18" s="9" t="s">
        <v>23</v>
      </c>
      <c r="P18" s="20">
        <v>46035</v>
      </c>
      <c r="Q18" s="22"/>
      <c r="R18" s="22"/>
      <c r="S18" s="22">
        <v>46029</v>
      </c>
      <c r="T18" s="21">
        <v>46034</v>
      </c>
      <c r="U18" s="22">
        <v>46035</v>
      </c>
      <c r="V18" s="22">
        <v>46035</v>
      </c>
      <c r="W18" s="22" t="s">
        <v>146</v>
      </c>
      <c r="X18" s="22">
        <v>46036</v>
      </c>
      <c r="Y18" s="22" t="s">
        <v>146</v>
      </c>
      <c r="Z18" s="37"/>
    </row>
    <row r="19" spans="1:26" x14ac:dyDescent="0.25">
      <c r="A19" s="45" t="s">
        <v>104</v>
      </c>
      <c r="B19" s="45" t="s">
        <v>199</v>
      </c>
      <c r="C19" s="2" t="s">
        <v>33</v>
      </c>
      <c r="D19" s="2" t="s">
        <v>80</v>
      </c>
      <c r="E19" s="2" t="s">
        <v>105</v>
      </c>
      <c r="F19" s="2" t="s">
        <v>25</v>
      </c>
      <c r="G19" s="30" t="s">
        <v>107</v>
      </c>
      <c r="H19" s="30" t="s">
        <v>107</v>
      </c>
      <c r="I19" s="2" t="s">
        <v>108</v>
      </c>
      <c r="J19" s="52">
        <v>46004</v>
      </c>
      <c r="K19" s="44" t="s">
        <v>27</v>
      </c>
      <c r="L19" s="53">
        <v>46024</v>
      </c>
      <c r="M19" s="54" t="s">
        <v>16</v>
      </c>
      <c r="N19" s="54" t="s">
        <v>24</v>
      </c>
      <c r="O19" s="54" t="s">
        <v>23</v>
      </c>
      <c r="P19" s="20">
        <v>46031</v>
      </c>
      <c r="Q19" s="38">
        <v>46027</v>
      </c>
      <c r="R19" s="38">
        <v>46031</v>
      </c>
      <c r="S19" s="38">
        <v>46031</v>
      </c>
      <c r="T19" s="38">
        <v>46031</v>
      </c>
      <c r="U19" s="38">
        <v>46031</v>
      </c>
      <c r="V19" s="38">
        <v>46031</v>
      </c>
      <c r="W19" s="38">
        <v>46035</v>
      </c>
      <c r="X19" s="38">
        <v>46033</v>
      </c>
      <c r="Y19" s="38">
        <v>46040</v>
      </c>
      <c r="Z19" s="37"/>
    </row>
    <row r="20" spans="1:26" x14ac:dyDescent="0.25">
      <c r="A20" s="5" t="s">
        <v>116</v>
      </c>
      <c r="B20" s="39" t="s">
        <v>115</v>
      </c>
      <c r="C20" s="2" t="s">
        <v>33</v>
      </c>
      <c r="D20" s="2" t="s">
        <v>117</v>
      </c>
      <c r="E20" s="2" t="s">
        <v>118</v>
      </c>
      <c r="F20" s="2" t="s">
        <v>11</v>
      </c>
      <c r="G20" s="30" t="s">
        <v>119</v>
      </c>
      <c r="H20" s="30" t="s">
        <v>120</v>
      </c>
      <c r="I20" s="3" t="s">
        <v>121</v>
      </c>
      <c r="J20" s="53">
        <v>45989</v>
      </c>
      <c r="K20" s="44" t="s">
        <v>15</v>
      </c>
      <c r="L20" s="53">
        <v>46026</v>
      </c>
      <c r="M20" s="54" t="s">
        <v>23</v>
      </c>
      <c r="N20" s="54" t="s">
        <v>24</v>
      </c>
      <c r="O20" s="54" t="s">
        <v>23</v>
      </c>
      <c r="P20" s="20">
        <v>46036</v>
      </c>
      <c r="Q20" s="38"/>
      <c r="R20" s="38"/>
      <c r="S20" s="4">
        <v>46031</v>
      </c>
      <c r="T20" s="4">
        <v>46035</v>
      </c>
      <c r="U20" s="4">
        <v>46036</v>
      </c>
      <c r="V20" s="4">
        <v>46036</v>
      </c>
      <c r="W20" s="4">
        <v>46036</v>
      </c>
      <c r="X20" s="4">
        <v>46038</v>
      </c>
      <c r="Y20" s="4">
        <v>46044</v>
      </c>
      <c r="Z20" s="37"/>
    </row>
    <row r="21" spans="1:26" x14ac:dyDescent="0.25">
      <c r="A21" s="5" t="s">
        <v>122</v>
      </c>
      <c r="B21" s="26" t="s">
        <v>115</v>
      </c>
      <c r="C21" s="9" t="s">
        <v>33</v>
      </c>
      <c r="D21" s="9" t="s">
        <v>117</v>
      </c>
      <c r="E21" s="9" t="s">
        <v>118</v>
      </c>
      <c r="F21" s="9" t="s">
        <v>11</v>
      </c>
      <c r="G21" s="30" t="s">
        <v>123</v>
      </c>
      <c r="H21" s="30" t="s">
        <v>120</v>
      </c>
      <c r="I21" s="11" t="s">
        <v>121</v>
      </c>
      <c r="J21" s="12">
        <v>45989</v>
      </c>
      <c r="K21" s="11" t="s">
        <v>15</v>
      </c>
      <c r="L21" s="13">
        <v>46026</v>
      </c>
      <c r="M21" s="9" t="s">
        <v>23</v>
      </c>
      <c r="N21" s="9" t="s">
        <v>24</v>
      </c>
      <c r="O21" s="9" t="s">
        <v>23</v>
      </c>
      <c r="P21" s="20">
        <v>46036</v>
      </c>
      <c r="Q21" s="22"/>
      <c r="R21" s="22"/>
      <c r="S21" s="22">
        <v>46031</v>
      </c>
      <c r="T21" s="21">
        <v>46035</v>
      </c>
      <c r="U21" s="22">
        <v>46036</v>
      </c>
      <c r="V21" s="22">
        <v>46036</v>
      </c>
      <c r="W21" s="22">
        <v>46036</v>
      </c>
      <c r="X21" s="22">
        <v>46038</v>
      </c>
      <c r="Y21" s="22">
        <v>46044</v>
      </c>
      <c r="Z21" s="37"/>
    </row>
    <row r="22" spans="1:26" x14ac:dyDescent="0.25">
      <c r="A22" s="5" t="s">
        <v>96</v>
      </c>
      <c r="B22" s="10" t="s">
        <v>199</v>
      </c>
      <c r="C22" s="9" t="s">
        <v>33</v>
      </c>
      <c r="D22" s="9" t="s">
        <v>97</v>
      </c>
      <c r="E22" s="9" t="s">
        <v>99</v>
      </c>
      <c r="F22" s="9" t="s">
        <v>25</v>
      </c>
      <c r="G22" s="30" t="s">
        <v>100</v>
      </c>
      <c r="H22" s="30" t="s">
        <v>101</v>
      </c>
      <c r="I22" s="11" t="s">
        <v>102</v>
      </c>
      <c r="J22" s="12">
        <v>45989</v>
      </c>
      <c r="K22" s="11" t="s">
        <v>103</v>
      </c>
      <c r="L22" s="13">
        <v>46030</v>
      </c>
      <c r="M22" s="9" t="s">
        <v>23</v>
      </c>
      <c r="N22" s="9" t="s">
        <v>24</v>
      </c>
      <c r="O22" s="9" t="s">
        <v>23</v>
      </c>
      <c r="P22" s="20">
        <v>46036</v>
      </c>
      <c r="Q22" s="22"/>
      <c r="R22" s="22"/>
      <c r="S22" s="22">
        <v>46035</v>
      </c>
      <c r="T22" s="21">
        <v>46036</v>
      </c>
      <c r="U22" s="22">
        <v>46036</v>
      </c>
      <c r="V22" s="22">
        <v>46036</v>
      </c>
      <c r="W22" s="22">
        <v>46041</v>
      </c>
      <c r="X22" s="22">
        <v>46037</v>
      </c>
      <c r="Y22" s="22">
        <v>46045</v>
      </c>
      <c r="Z22" s="37"/>
    </row>
    <row r="23" spans="1:26" x14ac:dyDescent="0.25">
      <c r="A23" s="23" t="s">
        <v>96</v>
      </c>
      <c r="B23" s="26" t="s">
        <v>199</v>
      </c>
      <c r="C23" s="9" t="s">
        <v>33</v>
      </c>
      <c r="D23" s="9" t="s">
        <v>97</v>
      </c>
      <c r="E23" s="9" t="s">
        <v>98</v>
      </c>
      <c r="F23" s="9" t="s">
        <v>25</v>
      </c>
      <c r="G23" s="30" t="s">
        <v>100</v>
      </c>
      <c r="H23" s="30" t="s">
        <v>101</v>
      </c>
      <c r="I23" s="11" t="s">
        <v>102</v>
      </c>
      <c r="J23" s="12">
        <v>45989</v>
      </c>
      <c r="K23" s="11" t="s">
        <v>103</v>
      </c>
      <c r="L23" s="13">
        <v>46030</v>
      </c>
      <c r="M23" s="9" t="s">
        <v>23</v>
      </c>
      <c r="N23" s="9" t="s">
        <v>24</v>
      </c>
      <c r="O23" s="9" t="s">
        <v>23</v>
      </c>
      <c r="P23" s="20">
        <v>46036</v>
      </c>
      <c r="Q23" s="22"/>
      <c r="R23" s="22"/>
      <c r="S23" s="22">
        <v>46035</v>
      </c>
      <c r="T23" s="21">
        <v>46036</v>
      </c>
      <c r="U23" s="22">
        <v>46036</v>
      </c>
      <c r="V23" s="22">
        <v>46036</v>
      </c>
      <c r="W23" s="22" t="s">
        <v>146</v>
      </c>
      <c r="X23" s="22">
        <v>46037</v>
      </c>
      <c r="Y23" s="22">
        <v>46045</v>
      </c>
      <c r="Z23" s="37"/>
    </row>
    <row r="24" spans="1:26" x14ac:dyDescent="0.25">
      <c r="A24" s="5" t="s">
        <v>104</v>
      </c>
      <c r="B24" s="10" t="s">
        <v>199</v>
      </c>
      <c r="C24" s="9" t="s">
        <v>33</v>
      </c>
      <c r="D24" s="9" t="s">
        <v>80</v>
      </c>
      <c r="E24" s="9" t="s">
        <v>106</v>
      </c>
      <c r="F24" s="9" t="s">
        <v>20</v>
      </c>
      <c r="G24" s="30" t="s">
        <v>107</v>
      </c>
      <c r="H24" s="30" t="s">
        <v>107</v>
      </c>
      <c r="I24" s="11" t="s">
        <v>108</v>
      </c>
      <c r="J24" s="12">
        <v>46004</v>
      </c>
      <c r="K24" s="11" t="s">
        <v>27</v>
      </c>
      <c r="L24" s="13">
        <v>46024</v>
      </c>
      <c r="M24" s="9" t="s">
        <v>16</v>
      </c>
      <c r="N24" s="9" t="s">
        <v>24</v>
      </c>
      <c r="O24" s="9" t="s">
        <v>23</v>
      </c>
      <c r="P24" s="20">
        <v>46037</v>
      </c>
      <c r="Q24" s="22">
        <v>46033</v>
      </c>
      <c r="R24" s="22">
        <v>46036</v>
      </c>
      <c r="S24" s="22">
        <v>46036</v>
      </c>
      <c r="T24" s="21">
        <v>46037</v>
      </c>
      <c r="U24" s="22">
        <v>46037</v>
      </c>
      <c r="V24" s="22">
        <v>46037</v>
      </c>
      <c r="W24" s="22">
        <v>46041</v>
      </c>
      <c r="X24" s="22">
        <v>46038</v>
      </c>
      <c r="Y24" s="22">
        <v>46046</v>
      </c>
      <c r="Z24" s="37"/>
    </row>
    <row r="25" spans="1:26" x14ac:dyDescent="0.25">
      <c r="A25" s="23" t="s">
        <v>178</v>
      </c>
      <c r="B25" s="10" t="s">
        <v>199</v>
      </c>
      <c r="C25" s="9" t="s">
        <v>33</v>
      </c>
      <c r="D25" s="9" t="s">
        <v>179</v>
      </c>
      <c r="E25" s="9" t="s">
        <v>180</v>
      </c>
      <c r="F25" s="9" t="s">
        <v>25</v>
      </c>
      <c r="G25" s="30" t="s">
        <v>182</v>
      </c>
      <c r="H25" s="30" t="s">
        <v>183</v>
      </c>
      <c r="I25" s="11" t="s">
        <v>184</v>
      </c>
      <c r="J25" s="12">
        <v>46005</v>
      </c>
      <c r="K25" s="11" t="s">
        <v>185</v>
      </c>
      <c r="L25" s="13">
        <v>46030</v>
      </c>
      <c r="M25" s="9" t="s">
        <v>23</v>
      </c>
      <c r="N25" s="9" t="s">
        <v>24</v>
      </c>
      <c r="O25" s="9" t="s">
        <v>23</v>
      </c>
      <c r="P25" s="20">
        <v>46038</v>
      </c>
      <c r="Q25" s="22"/>
      <c r="R25" s="22"/>
      <c r="S25" s="22">
        <v>46036</v>
      </c>
      <c r="T25" s="21">
        <v>46038</v>
      </c>
      <c r="U25" s="22">
        <v>46038</v>
      </c>
      <c r="V25" s="22">
        <v>46038</v>
      </c>
      <c r="W25" s="22">
        <v>46041</v>
      </c>
      <c r="X25" s="22">
        <v>46038</v>
      </c>
      <c r="Y25" s="22">
        <v>46047</v>
      </c>
      <c r="Z25" s="37"/>
    </row>
    <row r="26" spans="1:26" x14ac:dyDescent="0.25">
      <c r="A26" s="24" t="s">
        <v>178</v>
      </c>
      <c r="B26" s="10" t="s">
        <v>198</v>
      </c>
      <c r="C26" s="9" t="s">
        <v>33</v>
      </c>
      <c r="D26" s="9" t="s">
        <v>179</v>
      </c>
      <c r="E26" s="9" t="s">
        <v>181</v>
      </c>
      <c r="F26" s="9" t="s">
        <v>25</v>
      </c>
      <c r="G26" s="30" t="s">
        <v>182</v>
      </c>
      <c r="H26" s="30" t="s">
        <v>183</v>
      </c>
      <c r="I26" s="11" t="s">
        <v>184</v>
      </c>
      <c r="J26" s="12">
        <v>46005</v>
      </c>
      <c r="K26" s="11" t="s">
        <v>185</v>
      </c>
      <c r="L26" s="13">
        <v>46030</v>
      </c>
      <c r="M26" s="9" t="s">
        <v>23</v>
      </c>
      <c r="N26" s="9" t="s">
        <v>24</v>
      </c>
      <c r="O26" s="9" t="s">
        <v>23</v>
      </c>
      <c r="P26" s="20">
        <v>46038</v>
      </c>
      <c r="Q26" s="22"/>
      <c r="R26" s="22"/>
      <c r="S26" s="22">
        <v>46036</v>
      </c>
      <c r="T26" s="21">
        <v>46038</v>
      </c>
      <c r="U26" s="22">
        <v>46038</v>
      </c>
      <c r="V26" s="22">
        <v>46038</v>
      </c>
      <c r="W26" s="22"/>
      <c r="X26" s="22">
        <v>46038</v>
      </c>
      <c r="Y26" s="22">
        <v>46047</v>
      </c>
      <c r="Z26" s="37"/>
    </row>
    <row r="27" spans="1:26" x14ac:dyDescent="0.25">
      <c r="A27" s="45" t="s">
        <v>165</v>
      </c>
      <c r="B27" s="45" t="s">
        <v>22</v>
      </c>
      <c r="C27" s="2" t="s">
        <v>33</v>
      </c>
      <c r="D27" s="2" t="s">
        <v>166</v>
      </c>
      <c r="E27" s="2" t="s">
        <v>167</v>
      </c>
      <c r="F27" s="2" t="s">
        <v>11</v>
      </c>
      <c r="G27" s="30" t="s">
        <v>168</v>
      </c>
      <c r="H27" s="30" t="s">
        <v>169</v>
      </c>
      <c r="I27" s="2" t="s">
        <v>170</v>
      </c>
      <c r="J27" s="52">
        <v>45986</v>
      </c>
      <c r="K27" s="44" t="s">
        <v>171</v>
      </c>
      <c r="L27" s="53">
        <v>46018</v>
      </c>
      <c r="M27" s="54" t="s">
        <v>28</v>
      </c>
      <c r="N27" s="54" t="s">
        <v>24</v>
      </c>
      <c r="O27" s="54" t="s">
        <v>23</v>
      </c>
      <c r="P27" s="20">
        <v>46042</v>
      </c>
      <c r="Q27" s="38">
        <v>46021</v>
      </c>
      <c r="R27" s="38">
        <v>46035</v>
      </c>
      <c r="S27" s="38">
        <v>46038</v>
      </c>
      <c r="T27" s="38">
        <v>46041</v>
      </c>
      <c r="U27" s="38"/>
      <c r="V27" s="38"/>
      <c r="W27" s="38" t="s">
        <v>146</v>
      </c>
      <c r="X27" s="38">
        <v>46042</v>
      </c>
      <c r="Y27" s="38" t="s">
        <v>146</v>
      </c>
      <c r="Z27" s="37"/>
    </row>
    <row r="28" spans="1:26" x14ac:dyDescent="0.25">
      <c r="A28" s="5" t="s">
        <v>124</v>
      </c>
      <c r="B28" s="57" t="s">
        <v>316</v>
      </c>
      <c r="C28" s="2" t="s">
        <v>33</v>
      </c>
      <c r="D28" s="2" t="s">
        <v>125</v>
      </c>
      <c r="E28" s="2" t="s">
        <v>126</v>
      </c>
      <c r="F28" s="2" t="s">
        <v>20</v>
      </c>
      <c r="G28" s="30" t="s">
        <v>127</v>
      </c>
      <c r="H28" s="30" t="s">
        <v>127</v>
      </c>
      <c r="I28" s="3" t="s">
        <v>128</v>
      </c>
      <c r="J28" s="53">
        <v>46001</v>
      </c>
      <c r="K28" s="44" t="s">
        <v>15</v>
      </c>
      <c r="L28" s="53">
        <v>46020</v>
      </c>
      <c r="M28" s="54" t="s">
        <v>17</v>
      </c>
      <c r="N28" s="54" t="s">
        <v>24</v>
      </c>
      <c r="O28" s="54" t="s">
        <v>23</v>
      </c>
      <c r="P28" s="20">
        <v>46043</v>
      </c>
      <c r="Q28" s="38">
        <v>46038.582638888889</v>
      </c>
      <c r="R28" s="38">
        <v>46041</v>
      </c>
      <c r="S28" s="4">
        <v>46041</v>
      </c>
      <c r="T28" s="4"/>
      <c r="U28" s="4"/>
      <c r="V28" s="4"/>
      <c r="W28" s="4"/>
      <c r="X28" s="4">
        <v>46043</v>
      </c>
      <c r="Y28" s="4"/>
      <c r="Z28" s="37"/>
    </row>
    <row r="29" spans="1:26" x14ac:dyDescent="0.25">
      <c r="A29" s="24" t="s">
        <v>124</v>
      </c>
      <c r="B29" s="39" t="s">
        <v>316</v>
      </c>
      <c r="C29" s="2" t="s">
        <v>33</v>
      </c>
      <c r="D29" s="2" t="s">
        <v>125</v>
      </c>
      <c r="E29" s="2" t="s">
        <v>130</v>
      </c>
      <c r="F29" s="2" t="s">
        <v>20</v>
      </c>
      <c r="G29" s="30" t="s">
        <v>127</v>
      </c>
      <c r="H29" s="30" t="s">
        <v>127</v>
      </c>
      <c r="I29" s="3" t="s">
        <v>128</v>
      </c>
      <c r="J29" s="53">
        <v>46001</v>
      </c>
      <c r="K29" s="44" t="s">
        <v>15</v>
      </c>
      <c r="L29" s="53">
        <v>46020</v>
      </c>
      <c r="M29" s="54" t="s">
        <v>17</v>
      </c>
      <c r="N29" s="54" t="s">
        <v>24</v>
      </c>
      <c r="O29" s="54" t="s">
        <v>23</v>
      </c>
      <c r="P29" s="20">
        <v>46043</v>
      </c>
      <c r="Q29" s="38">
        <v>46038.520833333336</v>
      </c>
      <c r="R29" s="38">
        <v>46041</v>
      </c>
      <c r="S29" s="38">
        <v>46041</v>
      </c>
      <c r="T29" s="38"/>
      <c r="U29" s="38"/>
      <c r="V29" s="38"/>
      <c r="W29" s="38"/>
      <c r="X29" s="38">
        <v>46043</v>
      </c>
      <c r="Y29" s="38"/>
      <c r="Z29" s="37"/>
    </row>
    <row r="30" spans="1:26" x14ac:dyDescent="0.25">
      <c r="A30" s="5" t="s">
        <v>140</v>
      </c>
      <c r="B30" s="10" t="s">
        <v>198</v>
      </c>
      <c r="C30" s="9" t="s">
        <v>33</v>
      </c>
      <c r="D30" s="9" t="s">
        <v>80</v>
      </c>
      <c r="E30" s="9" t="s">
        <v>141</v>
      </c>
      <c r="F30" s="9" t="s">
        <v>20</v>
      </c>
      <c r="G30" s="30" t="s">
        <v>142</v>
      </c>
      <c r="H30" s="30" t="s">
        <v>142</v>
      </c>
      <c r="I30" s="11" t="s">
        <v>143</v>
      </c>
      <c r="J30" s="12">
        <v>46013</v>
      </c>
      <c r="K30" s="11" t="s">
        <v>27</v>
      </c>
      <c r="L30" s="13">
        <v>46030</v>
      </c>
      <c r="M30" s="9" t="s">
        <v>16</v>
      </c>
      <c r="N30" s="9" t="s">
        <v>24</v>
      </c>
      <c r="O30" s="9" t="s">
        <v>23</v>
      </c>
      <c r="P30" s="20">
        <v>46042</v>
      </c>
      <c r="Q30" s="22">
        <v>46036</v>
      </c>
      <c r="R30" s="22">
        <v>46039</v>
      </c>
      <c r="S30" s="22">
        <v>46041</v>
      </c>
      <c r="T30" s="21">
        <v>46042</v>
      </c>
      <c r="U30" s="22">
        <v>46042</v>
      </c>
      <c r="V30" s="22">
        <v>46042</v>
      </c>
      <c r="W30" s="22"/>
      <c r="X30" s="22">
        <v>46041</v>
      </c>
      <c r="Y30" s="22">
        <v>46051</v>
      </c>
      <c r="Z30" s="37"/>
    </row>
    <row r="31" spans="1:26" x14ac:dyDescent="0.25">
      <c r="A31" s="5" t="s">
        <v>129</v>
      </c>
      <c r="B31" s="26" t="s">
        <v>316</v>
      </c>
      <c r="C31" s="9" t="s">
        <v>33</v>
      </c>
      <c r="D31" s="9" t="s">
        <v>88</v>
      </c>
      <c r="E31" s="9" t="s">
        <v>131</v>
      </c>
      <c r="F31" s="9" t="s">
        <v>20</v>
      </c>
      <c r="G31" s="30" t="s">
        <v>132</v>
      </c>
      <c r="H31" s="30" t="s">
        <v>132</v>
      </c>
      <c r="I31" s="11" t="s">
        <v>133</v>
      </c>
      <c r="J31" s="12">
        <v>46001</v>
      </c>
      <c r="K31" s="11" t="s">
        <v>15</v>
      </c>
      <c r="L31" s="13">
        <v>46020</v>
      </c>
      <c r="M31" s="9" t="s">
        <v>17</v>
      </c>
      <c r="N31" s="9" t="s">
        <v>24</v>
      </c>
      <c r="O31" s="9" t="s">
        <v>23</v>
      </c>
      <c r="P31" s="20">
        <v>46043</v>
      </c>
      <c r="Q31" s="22">
        <v>46038.520833333336</v>
      </c>
      <c r="R31" s="22">
        <v>46041</v>
      </c>
      <c r="S31" s="22">
        <v>46042</v>
      </c>
      <c r="T31" s="21"/>
      <c r="U31" s="22"/>
      <c r="V31" s="22"/>
      <c r="W31" s="22"/>
      <c r="X31" s="22">
        <v>46043</v>
      </c>
      <c r="Y31" s="22"/>
      <c r="Z31" s="37"/>
    </row>
    <row r="32" spans="1:26" x14ac:dyDescent="0.25">
      <c r="A32" s="5" t="s">
        <v>147</v>
      </c>
      <c r="B32" s="10" t="s">
        <v>316</v>
      </c>
      <c r="C32" s="9" t="s">
        <v>33</v>
      </c>
      <c r="D32" s="9" t="s">
        <v>151</v>
      </c>
      <c r="E32" s="9" t="s">
        <v>131</v>
      </c>
      <c r="F32" s="9" t="s">
        <v>20</v>
      </c>
      <c r="G32" s="30" t="s">
        <v>153</v>
      </c>
      <c r="H32" s="30" t="s">
        <v>132</v>
      </c>
      <c r="I32" s="11" t="s">
        <v>133</v>
      </c>
      <c r="J32" s="12">
        <v>46001</v>
      </c>
      <c r="K32" s="11" t="s">
        <v>15</v>
      </c>
      <c r="L32" s="13">
        <v>46020</v>
      </c>
      <c r="M32" s="9" t="s">
        <v>17</v>
      </c>
      <c r="N32" s="9" t="s">
        <v>24</v>
      </c>
      <c r="O32" s="9" t="s">
        <v>23</v>
      </c>
      <c r="P32" s="20">
        <v>46043</v>
      </c>
      <c r="Q32" s="22">
        <v>46038.520833333336</v>
      </c>
      <c r="R32" s="22">
        <v>46041</v>
      </c>
      <c r="S32" s="22">
        <v>46042</v>
      </c>
      <c r="T32" s="21"/>
      <c r="U32" s="22"/>
      <c r="V32" s="22"/>
      <c r="W32" s="22"/>
      <c r="X32" s="22">
        <v>46043</v>
      </c>
      <c r="Y32" s="22"/>
      <c r="Z32" s="37"/>
    </row>
    <row r="33" spans="1:26" x14ac:dyDescent="0.25">
      <c r="A33" s="5" t="s">
        <v>148</v>
      </c>
      <c r="B33" s="10" t="s">
        <v>316</v>
      </c>
      <c r="C33" s="9" t="s">
        <v>33</v>
      </c>
      <c r="D33" s="9" t="s">
        <v>152</v>
      </c>
      <c r="E33" s="9" t="s">
        <v>131</v>
      </c>
      <c r="F33" s="9" t="s">
        <v>20</v>
      </c>
      <c r="G33" s="30" t="s">
        <v>154</v>
      </c>
      <c r="H33" s="30" t="s">
        <v>132</v>
      </c>
      <c r="I33" s="11" t="s">
        <v>133</v>
      </c>
      <c r="J33" s="12">
        <v>46001</v>
      </c>
      <c r="K33" s="11" t="s">
        <v>15</v>
      </c>
      <c r="L33" s="13">
        <v>46020</v>
      </c>
      <c r="M33" s="9" t="s">
        <v>17</v>
      </c>
      <c r="N33" s="9" t="s">
        <v>24</v>
      </c>
      <c r="O33" s="9" t="s">
        <v>23</v>
      </c>
      <c r="P33" s="20">
        <v>46043</v>
      </c>
      <c r="Q33" s="22">
        <v>46038.520833333336</v>
      </c>
      <c r="R33" s="22">
        <v>46041</v>
      </c>
      <c r="S33" s="22">
        <v>46042</v>
      </c>
      <c r="T33" s="21"/>
      <c r="U33" s="22"/>
      <c r="V33" s="22"/>
      <c r="W33" s="22"/>
      <c r="X33" s="22">
        <v>46043</v>
      </c>
      <c r="Y33" s="22"/>
      <c r="Z33" s="37"/>
    </row>
    <row r="34" spans="1:26" x14ac:dyDescent="0.25">
      <c r="A34" s="5" t="s">
        <v>149</v>
      </c>
      <c r="B34" s="26" t="s">
        <v>316</v>
      </c>
      <c r="C34" s="9" t="s">
        <v>33</v>
      </c>
      <c r="D34" s="9" t="s">
        <v>152</v>
      </c>
      <c r="E34" s="9" t="s">
        <v>131</v>
      </c>
      <c r="F34" s="9" t="s">
        <v>20</v>
      </c>
      <c r="G34" s="30" t="s">
        <v>155</v>
      </c>
      <c r="H34" s="30" t="s">
        <v>132</v>
      </c>
      <c r="I34" s="11" t="s">
        <v>133</v>
      </c>
      <c r="J34" s="12">
        <v>46001</v>
      </c>
      <c r="K34" s="11" t="s">
        <v>15</v>
      </c>
      <c r="L34" s="13">
        <v>46020</v>
      </c>
      <c r="M34" s="9" t="s">
        <v>17</v>
      </c>
      <c r="N34" s="9" t="s">
        <v>24</v>
      </c>
      <c r="O34" s="9" t="s">
        <v>23</v>
      </c>
      <c r="P34" s="20">
        <v>46043</v>
      </c>
      <c r="Q34" s="22">
        <v>46038.520833333336</v>
      </c>
      <c r="R34" s="22">
        <v>46041</v>
      </c>
      <c r="S34" s="22">
        <v>46042</v>
      </c>
      <c r="T34" s="21"/>
      <c r="U34" s="22"/>
      <c r="V34" s="22"/>
      <c r="W34" s="22"/>
      <c r="X34" s="22">
        <v>46043</v>
      </c>
      <c r="Y34" s="22"/>
      <c r="Z34" s="37"/>
    </row>
    <row r="35" spans="1:26" x14ac:dyDescent="0.25">
      <c r="A35" s="23" t="s">
        <v>150</v>
      </c>
      <c r="B35" s="39" t="s">
        <v>316</v>
      </c>
      <c r="C35" s="2" t="s">
        <v>33</v>
      </c>
      <c r="D35" s="2" t="s">
        <v>125</v>
      </c>
      <c r="E35" s="2" t="s">
        <v>131</v>
      </c>
      <c r="F35" s="2" t="s">
        <v>20</v>
      </c>
      <c r="G35" s="30" t="s">
        <v>156</v>
      </c>
      <c r="H35" s="30" t="s">
        <v>132</v>
      </c>
      <c r="I35" s="3" t="s">
        <v>133</v>
      </c>
      <c r="J35" s="53">
        <v>46001</v>
      </c>
      <c r="K35" s="44" t="s">
        <v>15</v>
      </c>
      <c r="L35" s="53">
        <v>46020</v>
      </c>
      <c r="M35" s="54" t="s">
        <v>17</v>
      </c>
      <c r="N35" s="54" t="s">
        <v>24</v>
      </c>
      <c r="O35" s="54" t="s">
        <v>23</v>
      </c>
      <c r="P35" s="20">
        <v>46043</v>
      </c>
      <c r="Q35" s="38">
        <v>46038.520833333336</v>
      </c>
      <c r="R35" s="38">
        <v>46041</v>
      </c>
      <c r="S35" s="38">
        <v>46042</v>
      </c>
      <c r="T35" s="38"/>
      <c r="U35" s="38"/>
      <c r="V35" s="38"/>
      <c r="W35" s="38"/>
      <c r="X35" s="38">
        <v>46043</v>
      </c>
      <c r="Y35" s="38"/>
      <c r="Z35" s="37"/>
    </row>
    <row r="36" spans="1:26" x14ac:dyDescent="0.25">
      <c r="A36" s="5" t="s">
        <v>157</v>
      </c>
      <c r="B36" s="26" t="s">
        <v>316</v>
      </c>
      <c r="C36" s="9" t="s">
        <v>33</v>
      </c>
      <c r="D36" s="9" t="s">
        <v>125</v>
      </c>
      <c r="E36" s="9" t="s">
        <v>131</v>
      </c>
      <c r="F36" s="9" t="s">
        <v>20</v>
      </c>
      <c r="G36" s="30" t="s">
        <v>158</v>
      </c>
      <c r="H36" s="30" t="s">
        <v>132</v>
      </c>
      <c r="I36" s="11" t="s">
        <v>133</v>
      </c>
      <c r="J36" s="12">
        <v>46001</v>
      </c>
      <c r="K36" s="11" t="s">
        <v>15</v>
      </c>
      <c r="L36" s="13">
        <v>46020</v>
      </c>
      <c r="M36" s="9" t="s">
        <v>17</v>
      </c>
      <c r="N36" s="9" t="s">
        <v>24</v>
      </c>
      <c r="O36" s="9" t="s">
        <v>23</v>
      </c>
      <c r="P36" s="20">
        <v>46043</v>
      </c>
      <c r="Q36" s="22">
        <v>46038.520833333336</v>
      </c>
      <c r="R36" s="22">
        <v>46041</v>
      </c>
      <c r="S36" s="22">
        <v>46042</v>
      </c>
      <c r="T36" s="21"/>
      <c r="U36" s="22"/>
      <c r="V36" s="22"/>
      <c r="W36" s="22"/>
      <c r="X36" s="22">
        <v>46043</v>
      </c>
      <c r="Y36" s="22"/>
      <c r="Z36" s="37"/>
    </row>
    <row r="37" spans="1:26" x14ac:dyDescent="0.25">
      <c r="A37" s="45" t="s">
        <v>186</v>
      </c>
      <c r="B37" s="45" t="s">
        <v>22</v>
      </c>
      <c r="C37" s="58" t="s">
        <v>33</v>
      </c>
      <c r="D37" s="58" t="s">
        <v>187</v>
      </c>
      <c r="E37" s="58" t="s">
        <v>188</v>
      </c>
      <c r="F37" s="58" t="s">
        <v>11</v>
      </c>
      <c r="G37" s="30" t="s">
        <v>189</v>
      </c>
      <c r="H37" s="30" t="s">
        <v>190</v>
      </c>
      <c r="I37" s="58" t="s">
        <v>191</v>
      </c>
      <c r="J37" s="59">
        <v>46010</v>
      </c>
      <c r="K37" s="60" t="s">
        <v>103</v>
      </c>
      <c r="L37" s="61">
        <v>46026</v>
      </c>
      <c r="M37" s="62" t="s">
        <v>17</v>
      </c>
      <c r="N37" s="62" t="s">
        <v>24</v>
      </c>
      <c r="O37" s="62" t="s">
        <v>23</v>
      </c>
      <c r="P37" s="20">
        <v>46042</v>
      </c>
      <c r="Q37" s="20">
        <v>46036</v>
      </c>
      <c r="R37" s="20">
        <v>46042</v>
      </c>
      <c r="S37" s="20"/>
      <c r="T37" s="20"/>
      <c r="U37" s="20"/>
      <c r="V37" s="20"/>
      <c r="W37" s="20" t="s">
        <v>146</v>
      </c>
      <c r="X37" s="20"/>
      <c r="Y37" s="38" t="s">
        <v>146</v>
      </c>
      <c r="Z37" s="37"/>
    </row>
    <row r="38" spans="1:26" x14ac:dyDescent="0.25">
      <c r="A38" s="5" t="s">
        <v>205</v>
      </c>
      <c r="B38" s="10" t="s">
        <v>248</v>
      </c>
      <c r="C38" s="46" t="s">
        <v>33</v>
      </c>
      <c r="D38" s="46" t="s">
        <v>49</v>
      </c>
      <c r="E38" s="9" t="s">
        <v>206</v>
      </c>
      <c r="F38" s="46" t="s">
        <v>11</v>
      </c>
      <c r="G38" s="30" t="s">
        <v>208</v>
      </c>
      <c r="H38" s="30" t="s">
        <v>209</v>
      </c>
      <c r="I38" s="47" t="s">
        <v>210</v>
      </c>
      <c r="J38" s="32">
        <v>46015</v>
      </c>
      <c r="K38" s="47" t="s">
        <v>15</v>
      </c>
      <c r="L38" s="48">
        <v>46035</v>
      </c>
      <c r="M38" s="46" t="s">
        <v>17</v>
      </c>
      <c r="N38" s="46" t="s">
        <v>24</v>
      </c>
      <c r="O38" s="46" t="s">
        <v>23</v>
      </c>
      <c r="P38" s="20">
        <v>46044</v>
      </c>
      <c r="Q38" s="51"/>
      <c r="R38" s="51"/>
      <c r="S38" s="22"/>
      <c r="T38" s="21"/>
      <c r="U38" s="22"/>
      <c r="V38" s="22"/>
      <c r="W38" s="22"/>
      <c r="X38" s="22"/>
      <c r="Y38" s="22"/>
    </row>
    <row r="39" spans="1:26" x14ac:dyDescent="0.25">
      <c r="A39" s="5" t="s">
        <v>205</v>
      </c>
      <c r="B39" s="10" t="s">
        <v>248</v>
      </c>
      <c r="C39" s="9" t="s">
        <v>33</v>
      </c>
      <c r="D39" s="2" t="s">
        <v>49</v>
      </c>
      <c r="E39" s="2" t="s">
        <v>207</v>
      </c>
      <c r="F39" s="2" t="s">
        <v>11</v>
      </c>
      <c r="G39" s="30" t="s">
        <v>208</v>
      </c>
      <c r="H39" s="30" t="s">
        <v>209</v>
      </c>
      <c r="I39" s="2" t="s">
        <v>210</v>
      </c>
      <c r="J39" s="52">
        <v>46015</v>
      </c>
      <c r="K39" s="38" t="s">
        <v>15</v>
      </c>
      <c r="L39" s="53">
        <v>46035</v>
      </c>
      <c r="M39" s="52" t="s">
        <v>17</v>
      </c>
      <c r="N39" s="54" t="s">
        <v>24</v>
      </c>
      <c r="O39" s="52" t="s">
        <v>23</v>
      </c>
      <c r="P39" s="20">
        <v>46044</v>
      </c>
      <c r="Q39" s="51"/>
      <c r="R39" s="48"/>
      <c r="S39" s="13"/>
      <c r="T39" s="50"/>
      <c r="U39" s="13"/>
      <c r="V39" s="13"/>
      <c r="W39" s="13"/>
      <c r="X39" s="13"/>
      <c r="Y39" s="13"/>
    </row>
    <row r="40" spans="1:26" x14ac:dyDescent="0.25">
      <c r="A40" s="43" t="s">
        <v>200</v>
      </c>
      <c r="B40" s="11" t="s">
        <v>317</v>
      </c>
      <c r="C40" s="9" t="s">
        <v>33</v>
      </c>
      <c r="D40" s="9" t="s">
        <v>201</v>
      </c>
      <c r="E40" s="9" t="s">
        <v>202</v>
      </c>
      <c r="F40" s="9" t="s">
        <v>20</v>
      </c>
      <c r="G40" s="30" t="s">
        <v>249</v>
      </c>
      <c r="H40" s="30" t="s">
        <v>203</v>
      </c>
      <c r="I40" s="11" t="s">
        <v>204</v>
      </c>
      <c r="J40" s="12">
        <v>46013</v>
      </c>
      <c r="K40" s="11" t="s">
        <v>15</v>
      </c>
      <c r="L40" s="13">
        <v>46038</v>
      </c>
      <c r="M40" s="9" t="s">
        <v>17</v>
      </c>
      <c r="N40" s="9" t="s">
        <v>24</v>
      </c>
      <c r="O40" s="9" t="s">
        <v>23</v>
      </c>
      <c r="P40" s="38">
        <v>46050</v>
      </c>
      <c r="Q40" s="22">
        <v>46042</v>
      </c>
      <c r="R40" s="12"/>
      <c r="S40" s="12"/>
      <c r="T40" s="21"/>
      <c r="U40" s="22"/>
      <c r="V40" s="22"/>
      <c r="W40" s="22"/>
      <c r="X40" s="22"/>
      <c r="Y40" s="22"/>
    </row>
    <row r="41" spans="1:26" x14ac:dyDescent="0.25">
      <c r="A41" s="43" t="s">
        <v>216</v>
      </c>
      <c r="B41" s="3" t="s">
        <v>317</v>
      </c>
      <c r="C41" s="2" t="s">
        <v>33</v>
      </c>
      <c r="D41" s="2" t="s">
        <v>125</v>
      </c>
      <c r="E41" s="2" t="s">
        <v>217</v>
      </c>
      <c r="F41" s="2" t="s">
        <v>25</v>
      </c>
      <c r="G41" s="30" t="s">
        <v>219</v>
      </c>
      <c r="H41" s="30" t="s">
        <v>220</v>
      </c>
      <c r="I41" s="3" t="s">
        <v>221</v>
      </c>
      <c r="J41" s="53">
        <v>46021</v>
      </c>
      <c r="K41" s="44" t="s">
        <v>15</v>
      </c>
      <c r="L41" s="53">
        <v>46038</v>
      </c>
      <c r="M41" s="54" t="s">
        <v>222</v>
      </c>
      <c r="N41" s="54" t="s">
        <v>24</v>
      </c>
      <c r="O41" s="54" t="s">
        <v>23</v>
      </c>
      <c r="P41" s="38">
        <v>46048</v>
      </c>
      <c r="Q41" s="38">
        <v>46041</v>
      </c>
      <c r="R41" s="49"/>
      <c r="S41" s="49"/>
      <c r="T41" s="49"/>
      <c r="U41" s="49"/>
      <c r="V41" s="49"/>
      <c r="W41" s="49"/>
      <c r="X41" s="49"/>
      <c r="Y41" s="49"/>
    </row>
    <row r="42" spans="1:26" x14ac:dyDescent="0.25">
      <c r="A42" s="43" t="s">
        <v>216</v>
      </c>
      <c r="B42" s="3" t="s">
        <v>317</v>
      </c>
      <c r="C42" s="2" t="s">
        <v>33</v>
      </c>
      <c r="D42" s="2" t="s">
        <v>125</v>
      </c>
      <c r="E42" s="9" t="s">
        <v>218</v>
      </c>
      <c r="F42" s="2" t="s">
        <v>11</v>
      </c>
      <c r="G42" s="30" t="s">
        <v>219</v>
      </c>
      <c r="H42" s="30" t="s">
        <v>220</v>
      </c>
      <c r="I42" s="3" t="s">
        <v>221</v>
      </c>
      <c r="J42" s="53">
        <v>46021</v>
      </c>
      <c r="K42" s="44" t="s">
        <v>15</v>
      </c>
      <c r="L42" s="53">
        <v>46038</v>
      </c>
      <c r="M42" s="54" t="s">
        <v>222</v>
      </c>
      <c r="N42" s="54" t="s">
        <v>24</v>
      </c>
      <c r="O42" s="54" t="s">
        <v>23</v>
      </c>
      <c r="P42" s="38">
        <v>46050</v>
      </c>
      <c r="Q42" s="38">
        <v>46042</v>
      </c>
      <c r="R42" s="49"/>
      <c r="S42" s="49"/>
      <c r="T42" s="49"/>
      <c r="U42" s="49"/>
      <c r="V42" s="49"/>
      <c r="W42" s="49"/>
      <c r="X42" s="49"/>
      <c r="Y42" s="49"/>
    </row>
    <row r="43" spans="1:26" x14ac:dyDescent="0.25">
      <c r="A43" s="43" t="s">
        <v>223</v>
      </c>
      <c r="B43" s="11" t="s">
        <v>248</v>
      </c>
      <c r="C43" s="9" t="s">
        <v>33</v>
      </c>
      <c r="D43" s="9" t="s">
        <v>80</v>
      </c>
      <c r="E43" s="9" t="s">
        <v>224</v>
      </c>
      <c r="F43" s="9" t="s">
        <v>20</v>
      </c>
      <c r="G43" s="30" t="s">
        <v>225</v>
      </c>
      <c r="H43" s="30" t="s">
        <v>226</v>
      </c>
      <c r="I43" s="11" t="s">
        <v>227</v>
      </c>
      <c r="J43" s="12">
        <v>46025</v>
      </c>
      <c r="K43" s="11" t="s">
        <v>27</v>
      </c>
      <c r="L43" s="13">
        <v>46038</v>
      </c>
      <c r="M43" s="9" t="s">
        <v>17</v>
      </c>
      <c r="N43" s="9" t="s">
        <v>24</v>
      </c>
      <c r="O43" s="9" t="s">
        <v>23</v>
      </c>
      <c r="P43" s="38">
        <v>46048</v>
      </c>
      <c r="Q43" s="12"/>
      <c r="R43" s="12"/>
      <c r="S43" s="12"/>
      <c r="T43" s="21"/>
      <c r="U43" s="22"/>
      <c r="V43" s="22"/>
      <c r="W43" s="22"/>
      <c r="X43" s="22"/>
      <c r="Y43" s="22"/>
    </row>
    <row r="44" spans="1:26" x14ac:dyDescent="0.25">
      <c r="A44" s="2" t="s">
        <v>223</v>
      </c>
      <c r="B44" s="2" t="s">
        <v>248</v>
      </c>
      <c r="C44" s="2" t="s">
        <v>33</v>
      </c>
      <c r="D44" s="2" t="s">
        <v>80</v>
      </c>
      <c r="E44" s="2" t="s">
        <v>229</v>
      </c>
      <c r="F44" s="2" t="s">
        <v>25</v>
      </c>
      <c r="G44" s="30" t="s">
        <v>225</v>
      </c>
      <c r="H44" s="30" t="s">
        <v>226</v>
      </c>
      <c r="I44" s="2" t="s">
        <v>227</v>
      </c>
      <c r="J44" s="52">
        <v>46025</v>
      </c>
      <c r="K44" s="44" t="s">
        <v>27</v>
      </c>
      <c r="L44" s="53">
        <v>46038</v>
      </c>
      <c r="M44" s="54" t="s">
        <v>17</v>
      </c>
      <c r="N44" s="54" t="s">
        <v>24</v>
      </c>
      <c r="O44" s="54" t="s">
        <v>23</v>
      </c>
      <c r="P44" s="38">
        <v>46048</v>
      </c>
      <c r="Q44" s="15"/>
      <c r="R44" s="15"/>
      <c r="S44" s="30"/>
      <c r="T44" s="15"/>
      <c r="U44" s="15"/>
      <c r="V44" s="15"/>
      <c r="W44" s="15"/>
      <c r="X44" s="15"/>
      <c r="Y44" s="15"/>
    </row>
    <row r="45" spans="1:26" x14ac:dyDescent="0.25">
      <c r="A45" s="43" t="s">
        <v>269</v>
      </c>
      <c r="B45" s="44" t="s">
        <v>248</v>
      </c>
      <c r="C45" s="9" t="s">
        <v>33</v>
      </c>
      <c r="D45" s="9" t="s">
        <v>270</v>
      </c>
      <c r="E45" s="9" t="s">
        <v>271</v>
      </c>
      <c r="F45" s="9" t="s">
        <v>11</v>
      </c>
      <c r="G45" s="30" t="s">
        <v>272</v>
      </c>
      <c r="H45" s="30" t="s">
        <v>273</v>
      </c>
      <c r="I45" s="11" t="s">
        <v>274</v>
      </c>
      <c r="J45" s="12">
        <v>46026</v>
      </c>
      <c r="K45" s="11" t="s">
        <v>26</v>
      </c>
      <c r="L45" s="13">
        <v>46038</v>
      </c>
      <c r="M45" s="9" t="s">
        <v>17</v>
      </c>
      <c r="N45" s="9" t="s">
        <v>275</v>
      </c>
      <c r="O45" s="9" t="s">
        <v>17</v>
      </c>
      <c r="P45" s="38">
        <v>46048</v>
      </c>
      <c r="Q45" s="12"/>
      <c r="R45" s="12"/>
      <c r="S45" s="12"/>
      <c r="T45" s="21"/>
      <c r="U45" s="22"/>
      <c r="V45" s="22"/>
      <c r="W45" s="22"/>
      <c r="X45" s="22"/>
      <c r="Y45" s="22"/>
    </row>
    <row r="46" spans="1:26" x14ac:dyDescent="0.25">
      <c r="A46" s="2" t="s">
        <v>211</v>
      </c>
      <c r="B46" s="2" t="s">
        <v>248</v>
      </c>
      <c r="C46" s="2" t="s">
        <v>33</v>
      </c>
      <c r="D46" s="2" t="s">
        <v>49</v>
      </c>
      <c r="E46" s="2" t="s">
        <v>212</v>
      </c>
      <c r="F46" s="2" t="s">
        <v>11</v>
      </c>
      <c r="G46" s="30" t="s">
        <v>213</v>
      </c>
      <c r="H46" s="30" t="s">
        <v>214</v>
      </c>
      <c r="I46" s="2" t="s">
        <v>215</v>
      </c>
      <c r="J46" s="52">
        <v>46021</v>
      </c>
      <c r="K46" s="44" t="s">
        <v>15</v>
      </c>
      <c r="L46" s="53">
        <v>46039</v>
      </c>
      <c r="M46" s="54" t="s">
        <v>17</v>
      </c>
      <c r="N46" s="54" t="s">
        <v>24</v>
      </c>
      <c r="O46" s="54" t="s">
        <v>23</v>
      </c>
      <c r="P46" s="38">
        <v>46048</v>
      </c>
      <c r="Q46" s="15"/>
      <c r="R46" s="15"/>
      <c r="S46" s="30"/>
      <c r="T46" s="15"/>
      <c r="U46" s="15"/>
      <c r="V46" s="15"/>
      <c r="W46" s="15"/>
      <c r="X46" s="15"/>
      <c r="Y46" s="15"/>
    </row>
    <row r="47" spans="1:26" x14ac:dyDescent="0.25">
      <c r="A47" s="43" t="s">
        <v>228</v>
      </c>
      <c r="B47" s="11" t="s">
        <v>248</v>
      </c>
      <c r="C47" s="9" t="s">
        <v>33</v>
      </c>
      <c r="D47" s="9" t="s">
        <v>125</v>
      </c>
      <c r="E47" s="9" t="s">
        <v>230</v>
      </c>
      <c r="F47" s="9" t="s">
        <v>11</v>
      </c>
      <c r="G47" s="30" t="s">
        <v>231</v>
      </c>
      <c r="H47" s="30" t="s">
        <v>232</v>
      </c>
      <c r="I47" s="11" t="s">
        <v>233</v>
      </c>
      <c r="J47" s="12">
        <v>46028</v>
      </c>
      <c r="K47" s="11" t="s">
        <v>15</v>
      </c>
      <c r="L47" s="13">
        <v>46042</v>
      </c>
      <c r="M47" s="9" t="s">
        <v>17</v>
      </c>
      <c r="N47" s="9" t="s">
        <v>24</v>
      </c>
      <c r="O47" s="9" t="s">
        <v>23</v>
      </c>
      <c r="P47" s="38">
        <v>46051</v>
      </c>
      <c r="Q47" s="13"/>
      <c r="R47" s="13"/>
      <c r="S47" s="13"/>
      <c r="T47" s="50"/>
      <c r="U47" s="13"/>
      <c r="V47" s="13"/>
      <c r="W47" s="13"/>
      <c r="X47" s="13"/>
      <c r="Y47" s="13"/>
    </row>
    <row r="48" spans="1:26" x14ac:dyDescent="0.25">
      <c r="A48" s="43" t="s">
        <v>192</v>
      </c>
      <c r="B48" s="3" t="s">
        <v>30</v>
      </c>
      <c r="C48" s="2" t="s">
        <v>33</v>
      </c>
      <c r="D48" s="2" t="s">
        <v>97</v>
      </c>
      <c r="E48" s="2" t="s">
        <v>193</v>
      </c>
      <c r="F48" s="2" t="s">
        <v>25</v>
      </c>
      <c r="G48" s="30" t="s">
        <v>195</v>
      </c>
      <c r="H48" s="30" t="s">
        <v>196</v>
      </c>
      <c r="I48" s="3" t="s">
        <v>197</v>
      </c>
      <c r="J48" s="53">
        <v>46010</v>
      </c>
      <c r="K48" s="44" t="s">
        <v>103</v>
      </c>
      <c r="L48" s="53">
        <v>46046</v>
      </c>
      <c r="M48" s="54" t="s">
        <v>23</v>
      </c>
      <c r="N48" s="54" t="s">
        <v>24</v>
      </c>
      <c r="O48" s="54" t="s">
        <v>23</v>
      </c>
      <c r="P48" s="38">
        <v>46055</v>
      </c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5">
      <c r="A49" s="43" t="s">
        <v>192</v>
      </c>
      <c r="B49" s="44" t="s">
        <v>30</v>
      </c>
      <c r="C49" s="9" t="s">
        <v>33</v>
      </c>
      <c r="D49" s="9" t="s">
        <v>97</v>
      </c>
      <c r="E49" s="9" t="s">
        <v>194</v>
      </c>
      <c r="F49" s="9" t="s">
        <v>25</v>
      </c>
      <c r="G49" s="30" t="s">
        <v>195</v>
      </c>
      <c r="H49" s="30" t="s">
        <v>196</v>
      </c>
      <c r="I49" s="11" t="s">
        <v>197</v>
      </c>
      <c r="J49" s="12">
        <v>46010</v>
      </c>
      <c r="K49" s="11" t="s">
        <v>103</v>
      </c>
      <c r="L49" s="13">
        <v>46046</v>
      </c>
      <c r="M49" s="9" t="s">
        <v>23</v>
      </c>
      <c r="N49" s="9" t="s">
        <v>24</v>
      </c>
      <c r="O49" s="9" t="s">
        <v>23</v>
      </c>
      <c r="P49" s="38">
        <v>46055</v>
      </c>
      <c r="Q49" s="12"/>
      <c r="R49" s="12"/>
      <c r="S49" s="12"/>
      <c r="T49" s="21"/>
      <c r="U49" s="22"/>
      <c r="V49" s="22"/>
      <c r="W49" s="22"/>
      <c r="X49" s="22"/>
      <c r="Y49" s="22"/>
    </row>
    <row r="50" spans="1:25" x14ac:dyDescent="0.25">
      <c r="A50" s="5" t="s">
        <v>276</v>
      </c>
      <c r="B50" s="10" t="s">
        <v>30</v>
      </c>
      <c r="C50" s="9" t="s">
        <v>33</v>
      </c>
      <c r="D50" s="2" t="s">
        <v>74</v>
      </c>
      <c r="E50" s="9" t="s">
        <v>277</v>
      </c>
      <c r="F50" s="2" t="s">
        <v>11</v>
      </c>
      <c r="G50" s="30" t="s">
        <v>279</v>
      </c>
      <c r="H50" s="30" t="s">
        <v>279</v>
      </c>
      <c r="I50" s="2" t="s">
        <v>280</v>
      </c>
      <c r="J50" s="52">
        <v>46016</v>
      </c>
      <c r="K50" s="38" t="s">
        <v>26</v>
      </c>
      <c r="L50" s="53">
        <v>46047</v>
      </c>
      <c r="M50" s="52" t="s">
        <v>23</v>
      </c>
      <c r="N50" s="54" t="s">
        <v>24</v>
      </c>
      <c r="O50" s="52" t="s">
        <v>23</v>
      </c>
      <c r="P50" s="20">
        <v>46056</v>
      </c>
      <c r="Q50" s="12"/>
      <c r="R50" s="12"/>
      <c r="S50" s="12"/>
      <c r="T50" s="21"/>
      <c r="U50" s="22"/>
      <c r="V50" s="22"/>
      <c r="W50" s="22"/>
      <c r="X50" s="22"/>
      <c r="Y50" s="22"/>
    </row>
    <row r="51" spans="1:25" x14ac:dyDescent="0.25">
      <c r="A51" s="43" t="s">
        <v>276</v>
      </c>
      <c r="B51" s="11" t="s">
        <v>30</v>
      </c>
      <c r="C51" s="9" t="s">
        <v>33</v>
      </c>
      <c r="D51" s="2" t="s">
        <v>74</v>
      </c>
      <c r="E51" s="9" t="s">
        <v>278</v>
      </c>
      <c r="F51" s="2" t="s">
        <v>25</v>
      </c>
      <c r="G51" s="30" t="s">
        <v>279</v>
      </c>
      <c r="H51" s="30" t="s">
        <v>279</v>
      </c>
      <c r="I51" s="2" t="s">
        <v>280</v>
      </c>
      <c r="J51" s="52">
        <v>46016</v>
      </c>
      <c r="K51" s="38" t="s">
        <v>26</v>
      </c>
      <c r="L51" s="53">
        <v>46047</v>
      </c>
      <c r="M51" s="52" t="s">
        <v>23</v>
      </c>
      <c r="N51" s="54" t="s">
        <v>24</v>
      </c>
      <c r="O51" s="52" t="s">
        <v>23</v>
      </c>
      <c r="P51" s="38">
        <v>46056</v>
      </c>
      <c r="Q51" s="12"/>
      <c r="R51" s="12"/>
      <c r="S51" s="12"/>
      <c r="T51" s="21"/>
      <c r="U51" s="22"/>
      <c r="V51" s="22"/>
      <c r="W51" s="22"/>
      <c r="X51" s="22"/>
      <c r="Y51" s="22"/>
    </row>
    <row r="52" spans="1:25" x14ac:dyDescent="0.25">
      <c r="A52" s="2" t="s">
        <v>250</v>
      </c>
      <c r="B52" s="2" t="s">
        <v>115</v>
      </c>
      <c r="C52" s="2" t="s">
        <v>33</v>
      </c>
      <c r="D52" s="2" t="s">
        <v>88</v>
      </c>
      <c r="E52" s="2" t="s">
        <v>251</v>
      </c>
      <c r="F52" s="2" t="s">
        <v>25</v>
      </c>
      <c r="G52" s="30" t="s">
        <v>252</v>
      </c>
      <c r="H52" s="30" t="s">
        <v>253</v>
      </c>
      <c r="I52" s="2" t="s">
        <v>254</v>
      </c>
      <c r="J52" s="52">
        <v>46014</v>
      </c>
      <c r="K52" s="44" t="s">
        <v>15</v>
      </c>
      <c r="L52" s="53">
        <v>46048</v>
      </c>
      <c r="M52" s="54" t="s">
        <v>23</v>
      </c>
      <c r="N52" s="54" t="s">
        <v>24</v>
      </c>
      <c r="O52" s="54" t="s">
        <v>23</v>
      </c>
      <c r="P52" s="38">
        <v>46057</v>
      </c>
      <c r="Q52" s="15"/>
      <c r="R52" s="15"/>
      <c r="S52" s="30"/>
      <c r="T52" s="15"/>
      <c r="U52" s="15"/>
      <c r="V52" s="15"/>
      <c r="W52" s="15"/>
      <c r="X52" s="15"/>
      <c r="Y52" s="15"/>
    </row>
    <row r="53" spans="1:25" x14ac:dyDescent="0.25">
      <c r="A53" s="2" t="s">
        <v>255</v>
      </c>
      <c r="B53" s="2" t="s">
        <v>115</v>
      </c>
      <c r="C53" s="2" t="s">
        <v>33</v>
      </c>
      <c r="D53" s="2" t="s">
        <v>88</v>
      </c>
      <c r="E53" s="2" t="s">
        <v>251</v>
      </c>
      <c r="F53" s="2" t="s">
        <v>25</v>
      </c>
      <c r="G53" s="30" t="s">
        <v>259</v>
      </c>
      <c r="H53" s="30" t="s">
        <v>253</v>
      </c>
      <c r="I53" s="2" t="s">
        <v>254</v>
      </c>
      <c r="J53" s="52">
        <v>46014</v>
      </c>
      <c r="K53" s="44" t="s">
        <v>15</v>
      </c>
      <c r="L53" s="53">
        <v>46048</v>
      </c>
      <c r="M53" s="54" t="s">
        <v>23</v>
      </c>
      <c r="N53" s="54" t="s">
        <v>24</v>
      </c>
      <c r="O53" s="54" t="s">
        <v>23</v>
      </c>
      <c r="P53" s="38">
        <v>46057</v>
      </c>
      <c r="Q53" s="15"/>
      <c r="R53" s="15"/>
      <c r="S53" s="30"/>
      <c r="T53" s="15"/>
      <c r="U53" s="15"/>
      <c r="V53" s="15"/>
      <c r="W53" s="15"/>
      <c r="X53" s="15"/>
      <c r="Y53" s="15"/>
    </row>
    <row r="54" spans="1:25" x14ac:dyDescent="0.25">
      <c r="A54" s="43" t="s">
        <v>250</v>
      </c>
      <c r="B54" s="3" t="s">
        <v>115</v>
      </c>
      <c r="C54" s="2" t="s">
        <v>33</v>
      </c>
      <c r="D54" s="2" t="s">
        <v>88</v>
      </c>
      <c r="E54" s="2" t="s">
        <v>258</v>
      </c>
      <c r="F54" s="2" t="s">
        <v>20</v>
      </c>
      <c r="G54" s="30" t="s">
        <v>252</v>
      </c>
      <c r="H54" s="30" t="s">
        <v>253</v>
      </c>
      <c r="I54" s="3" t="s">
        <v>254</v>
      </c>
      <c r="J54" s="53">
        <v>46014</v>
      </c>
      <c r="K54" s="44" t="s">
        <v>15</v>
      </c>
      <c r="L54" s="53">
        <v>46048</v>
      </c>
      <c r="M54" s="44" t="s">
        <v>23</v>
      </c>
      <c r="N54" s="44" t="s">
        <v>24</v>
      </c>
      <c r="O54" s="44" t="s">
        <v>23</v>
      </c>
      <c r="P54" s="38">
        <v>46057</v>
      </c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5">
      <c r="A55" s="2" t="s">
        <v>256</v>
      </c>
      <c r="B55" s="2" t="s">
        <v>115</v>
      </c>
      <c r="C55" s="2" t="s">
        <v>33</v>
      </c>
      <c r="D55" s="2" t="s">
        <v>88</v>
      </c>
      <c r="E55" s="2" t="s">
        <v>258</v>
      </c>
      <c r="F55" s="2" t="s">
        <v>20</v>
      </c>
      <c r="G55" s="30" t="s">
        <v>260</v>
      </c>
      <c r="H55" s="30" t="s">
        <v>253</v>
      </c>
      <c r="I55" s="2" t="s">
        <v>254</v>
      </c>
      <c r="J55" s="52">
        <v>46014</v>
      </c>
      <c r="K55" s="44" t="s">
        <v>15</v>
      </c>
      <c r="L55" s="53">
        <v>46048</v>
      </c>
      <c r="M55" s="54" t="s">
        <v>23</v>
      </c>
      <c r="N55" s="54" t="s">
        <v>24</v>
      </c>
      <c r="O55" s="54" t="s">
        <v>23</v>
      </c>
      <c r="P55" s="38">
        <v>46057</v>
      </c>
      <c r="Q55" s="15"/>
      <c r="R55" s="15"/>
      <c r="S55" s="30"/>
      <c r="T55" s="15"/>
      <c r="U55" s="15"/>
      <c r="V55" s="15"/>
      <c r="W55" s="15"/>
      <c r="X55" s="15"/>
      <c r="Y55" s="15"/>
    </row>
    <row r="56" spans="1:25" x14ac:dyDescent="0.25">
      <c r="A56" s="2" t="s">
        <v>257</v>
      </c>
      <c r="B56" s="2" t="s">
        <v>115</v>
      </c>
      <c r="C56" s="2" t="s">
        <v>33</v>
      </c>
      <c r="D56" s="2" t="s">
        <v>88</v>
      </c>
      <c r="E56" s="2" t="s">
        <v>258</v>
      </c>
      <c r="F56" s="2" t="s">
        <v>20</v>
      </c>
      <c r="G56" s="30" t="s">
        <v>261</v>
      </c>
      <c r="H56" s="30" t="s">
        <v>253</v>
      </c>
      <c r="I56" s="2" t="s">
        <v>254</v>
      </c>
      <c r="J56" s="52">
        <v>46014</v>
      </c>
      <c r="K56" s="44" t="s">
        <v>15</v>
      </c>
      <c r="L56" s="53">
        <v>46048</v>
      </c>
      <c r="M56" s="54" t="s">
        <v>23</v>
      </c>
      <c r="N56" s="54" t="s">
        <v>24</v>
      </c>
      <c r="O56" s="54" t="s">
        <v>23</v>
      </c>
      <c r="P56" s="38">
        <v>46057</v>
      </c>
      <c r="Q56" s="15"/>
      <c r="R56" s="15"/>
      <c r="S56" s="30"/>
      <c r="T56" s="15"/>
      <c r="U56" s="15"/>
      <c r="V56" s="15"/>
      <c r="W56" s="15"/>
      <c r="X56" s="15"/>
      <c r="Y56" s="15"/>
    </row>
    <row r="57" spans="1:25" x14ac:dyDescent="0.25">
      <c r="A57" s="2" t="s">
        <v>262</v>
      </c>
      <c r="B57" s="2" t="s">
        <v>115</v>
      </c>
      <c r="C57" s="2" t="s">
        <v>33</v>
      </c>
      <c r="D57" s="2" t="s">
        <v>88</v>
      </c>
      <c r="E57" s="2" t="s">
        <v>258</v>
      </c>
      <c r="F57" s="2" t="s">
        <v>20</v>
      </c>
      <c r="G57" s="30" t="s">
        <v>263</v>
      </c>
      <c r="H57" s="30" t="s">
        <v>253</v>
      </c>
      <c r="I57" s="2" t="s">
        <v>254</v>
      </c>
      <c r="J57" s="52">
        <v>46014</v>
      </c>
      <c r="K57" s="44" t="s">
        <v>15</v>
      </c>
      <c r="L57" s="53">
        <v>46048</v>
      </c>
      <c r="M57" s="54" t="s">
        <v>23</v>
      </c>
      <c r="N57" s="54" t="s">
        <v>24</v>
      </c>
      <c r="O57" s="54" t="s">
        <v>23</v>
      </c>
      <c r="P57" s="38">
        <v>46057</v>
      </c>
      <c r="Q57" s="15"/>
      <c r="R57" s="15"/>
      <c r="S57" s="30"/>
      <c r="T57" s="15"/>
      <c r="U57" s="15"/>
      <c r="V57" s="15"/>
      <c r="W57" s="15"/>
      <c r="X57" s="15"/>
      <c r="Y57" s="15"/>
    </row>
    <row r="58" spans="1:25" x14ac:dyDescent="0.25">
      <c r="A58" s="2" t="s">
        <v>109</v>
      </c>
      <c r="B58" s="2" t="s">
        <v>30</v>
      </c>
      <c r="C58" s="2" t="s">
        <v>33</v>
      </c>
      <c r="D58" s="2" t="s">
        <v>62</v>
      </c>
      <c r="E58" s="2" t="s">
        <v>110</v>
      </c>
      <c r="F58" s="2" t="s">
        <v>25</v>
      </c>
      <c r="G58" s="30" t="s">
        <v>111</v>
      </c>
      <c r="H58" s="30" t="s">
        <v>112</v>
      </c>
      <c r="I58" s="2" t="s">
        <v>59</v>
      </c>
      <c r="J58" s="52">
        <v>46021</v>
      </c>
      <c r="K58" s="44" t="s">
        <v>66</v>
      </c>
      <c r="L58" s="53">
        <v>46048</v>
      </c>
      <c r="M58" s="54" t="s">
        <v>23</v>
      </c>
      <c r="N58" s="54" t="s">
        <v>24</v>
      </c>
      <c r="O58" s="54" t="s">
        <v>23</v>
      </c>
      <c r="P58" s="38">
        <v>46057</v>
      </c>
      <c r="Q58" s="15"/>
      <c r="R58" s="15"/>
      <c r="S58" s="30"/>
      <c r="T58" s="15"/>
      <c r="U58" s="15"/>
      <c r="V58" s="15"/>
      <c r="W58" s="15"/>
      <c r="X58" s="15"/>
      <c r="Y58" s="15"/>
    </row>
    <row r="59" spans="1:25" x14ac:dyDescent="0.25">
      <c r="A59" s="2" t="s">
        <v>281</v>
      </c>
      <c r="B59" s="3" t="s">
        <v>22</v>
      </c>
      <c r="C59" s="2" t="s">
        <v>33</v>
      </c>
      <c r="D59" s="2" t="s">
        <v>74</v>
      </c>
      <c r="E59" s="2" t="s">
        <v>282</v>
      </c>
      <c r="F59" s="2" t="s">
        <v>11</v>
      </c>
      <c r="G59" s="30" t="s">
        <v>283</v>
      </c>
      <c r="H59" s="30" t="s">
        <v>284</v>
      </c>
      <c r="I59" s="2" t="s">
        <v>285</v>
      </c>
      <c r="J59" s="52">
        <v>46038</v>
      </c>
      <c r="K59" s="44" t="s">
        <v>26</v>
      </c>
      <c r="L59" s="53">
        <v>46049</v>
      </c>
      <c r="M59" s="54" t="s">
        <v>17</v>
      </c>
      <c r="N59" s="54" t="s">
        <v>23</v>
      </c>
      <c r="O59" s="54" t="s">
        <v>23</v>
      </c>
      <c r="P59" s="38">
        <v>46058</v>
      </c>
      <c r="Q59" s="15"/>
      <c r="R59" s="15"/>
      <c r="S59" s="30"/>
      <c r="T59" s="15"/>
      <c r="U59" s="15"/>
      <c r="V59" s="15"/>
      <c r="W59" s="4" t="s">
        <v>146</v>
      </c>
      <c r="X59" s="15"/>
      <c r="Y59" s="4" t="s">
        <v>146</v>
      </c>
    </row>
    <row r="60" spans="1:25" x14ac:dyDescent="0.25">
      <c r="A60" s="2" t="s">
        <v>234</v>
      </c>
      <c r="B60" s="2" t="s">
        <v>30</v>
      </c>
      <c r="C60" s="2" t="s">
        <v>33</v>
      </c>
      <c r="D60" s="2" t="s">
        <v>51</v>
      </c>
      <c r="E60" s="2" t="s">
        <v>235</v>
      </c>
      <c r="F60" s="2" t="s">
        <v>11</v>
      </c>
      <c r="G60" s="30" t="s">
        <v>314</v>
      </c>
      <c r="H60" s="30" t="s">
        <v>315</v>
      </c>
      <c r="I60" s="2" t="s">
        <v>236</v>
      </c>
      <c r="J60" s="52">
        <v>46037</v>
      </c>
      <c r="K60" s="44" t="s">
        <v>60</v>
      </c>
      <c r="L60" s="53">
        <v>46050</v>
      </c>
      <c r="M60" s="54" t="s">
        <v>28</v>
      </c>
      <c r="N60" s="54" t="s">
        <v>24</v>
      </c>
      <c r="O60" s="54" t="s">
        <v>23</v>
      </c>
      <c r="P60" s="38">
        <v>46059</v>
      </c>
      <c r="Q60" s="15"/>
      <c r="R60" s="15"/>
      <c r="S60" s="30"/>
      <c r="T60" s="15"/>
      <c r="U60" s="15"/>
      <c r="V60" s="15"/>
      <c r="W60" s="15"/>
      <c r="X60" s="15"/>
      <c r="Y60" s="15"/>
    </row>
    <row r="61" spans="1:25" x14ac:dyDescent="0.25">
      <c r="A61" s="2" t="s">
        <v>134</v>
      </c>
      <c r="B61" s="3" t="s">
        <v>30</v>
      </c>
      <c r="C61" s="2" t="s">
        <v>33</v>
      </c>
      <c r="D61" s="2" t="s">
        <v>62</v>
      </c>
      <c r="E61" s="2" t="s">
        <v>135</v>
      </c>
      <c r="F61" s="2" t="s">
        <v>20</v>
      </c>
      <c r="G61" s="30" t="s">
        <v>136</v>
      </c>
      <c r="H61" s="30" t="s">
        <v>137</v>
      </c>
      <c r="I61" s="2" t="s">
        <v>138</v>
      </c>
      <c r="J61" s="52">
        <v>46005</v>
      </c>
      <c r="K61" s="44" t="s">
        <v>139</v>
      </c>
      <c r="L61" s="53">
        <v>46050</v>
      </c>
      <c r="M61" s="54" t="s">
        <v>23</v>
      </c>
      <c r="N61" s="54" t="s">
        <v>24</v>
      </c>
      <c r="O61" s="54" t="s">
        <v>23</v>
      </c>
      <c r="P61" s="38">
        <v>46059</v>
      </c>
      <c r="Q61" s="15"/>
      <c r="R61" s="15"/>
      <c r="S61" s="30"/>
      <c r="T61" s="15"/>
      <c r="U61" s="15"/>
      <c r="V61" s="15"/>
      <c r="W61" s="15"/>
      <c r="X61" s="15"/>
      <c r="Y61" s="15"/>
    </row>
    <row r="62" spans="1:25" x14ac:dyDescent="0.25">
      <c r="A62" s="2" t="s">
        <v>286</v>
      </c>
      <c r="B62" s="3" t="s">
        <v>30</v>
      </c>
      <c r="C62" s="2" t="s">
        <v>33</v>
      </c>
      <c r="D62" s="2" t="s">
        <v>125</v>
      </c>
      <c r="E62" s="2" t="s">
        <v>290</v>
      </c>
      <c r="F62" s="2" t="s">
        <v>11</v>
      </c>
      <c r="G62" s="30" t="s">
        <v>297</v>
      </c>
      <c r="H62" s="30" t="s">
        <v>298</v>
      </c>
      <c r="I62" s="2" t="s">
        <v>299</v>
      </c>
      <c r="J62" s="52">
        <v>46037</v>
      </c>
      <c r="K62" s="44" t="s">
        <v>15</v>
      </c>
      <c r="L62" s="53">
        <v>46052</v>
      </c>
      <c r="M62" s="54" t="s">
        <v>17</v>
      </c>
      <c r="N62" s="54" t="s">
        <v>24</v>
      </c>
      <c r="O62" s="54" t="s">
        <v>23</v>
      </c>
      <c r="P62" s="38">
        <v>46062</v>
      </c>
      <c r="Q62" s="15"/>
      <c r="R62" s="15"/>
      <c r="S62" s="30"/>
      <c r="T62" s="15"/>
      <c r="U62" s="15"/>
      <c r="V62" s="15"/>
      <c r="W62" s="15"/>
      <c r="X62" s="15"/>
      <c r="Y62" s="15"/>
    </row>
    <row r="63" spans="1:25" x14ac:dyDescent="0.25">
      <c r="A63" s="2" t="s">
        <v>287</v>
      </c>
      <c r="B63" s="3" t="s">
        <v>30</v>
      </c>
      <c r="C63" s="2" t="s">
        <v>33</v>
      </c>
      <c r="D63" s="2" t="s">
        <v>74</v>
      </c>
      <c r="E63" s="2" t="s">
        <v>291</v>
      </c>
      <c r="F63" s="2" t="s">
        <v>11</v>
      </c>
      <c r="G63" s="30" t="s">
        <v>300</v>
      </c>
      <c r="H63" s="30" t="s">
        <v>300</v>
      </c>
      <c r="I63" s="2" t="s">
        <v>301</v>
      </c>
      <c r="J63" s="52">
        <v>46025</v>
      </c>
      <c r="K63" s="44" t="s">
        <v>26</v>
      </c>
      <c r="L63" s="53">
        <v>46053</v>
      </c>
      <c r="M63" s="54" t="s">
        <v>23</v>
      </c>
      <c r="N63" s="54" t="s">
        <v>24</v>
      </c>
      <c r="O63" s="54" t="s">
        <v>23</v>
      </c>
      <c r="P63" s="38">
        <v>46062</v>
      </c>
      <c r="Q63" s="15"/>
      <c r="R63" s="15"/>
      <c r="S63" s="30"/>
      <c r="T63" s="15"/>
      <c r="U63" s="15"/>
      <c r="V63" s="15"/>
      <c r="W63" s="15"/>
      <c r="X63" s="15"/>
      <c r="Y63" s="15"/>
    </row>
    <row r="64" spans="1:25" x14ac:dyDescent="0.25">
      <c r="A64" s="2" t="s">
        <v>287</v>
      </c>
      <c r="B64" s="2" t="s">
        <v>30</v>
      </c>
      <c r="C64" s="2" t="s">
        <v>33</v>
      </c>
      <c r="D64" s="2" t="s">
        <v>74</v>
      </c>
      <c r="E64" s="2" t="s">
        <v>292</v>
      </c>
      <c r="F64" s="2" t="s">
        <v>11</v>
      </c>
      <c r="G64" s="30" t="s">
        <v>300</v>
      </c>
      <c r="H64" s="30" t="s">
        <v>300</v>
      </c>
      <c r="I64" s="2" t="s">
        <v>301</v>
      </c>
      <c r="J64" s="52">
        <v>46025</v>
      </c>
      <c r="K64" s="44" t="s">
        <v>26</v>
      </c>
      <c r="L64" s="53">
        <v>46053</v>
      </c>
      <c r="M64" s="54" t="s">
        <v>23</v>
      </c>
      <c r="N64" s="54" t="s">
        <v>24</v>
      </c>
      <c r="O64" s="54" t="s">
        <v>23</v>
      </c>
      <c r="P64" s="38">
        <v>46062</v>
      </c>
      <c r="Q64" s="15"/>
      <c r="R64" s="15"/>
      <c r="S64" s="30"/>
      <c r="T64" s="15"/>
      <c r="U64" s="15"/>
      <c r="V64" s="15"/>
      <c r="W64" s="15"/>
      <c r="X64" s="15"/>
      <c r="Y64" s="15"/>
    </row>
    <row r="65" spans="1:25" x14ac:dyDescent="0.25">
      <c r="A65" s="2" t="s">
        <v>311</v>
      </c>
      <c r="B65" s="2" t="s">
        <v>30</v>
      </c>
      <c r="C65" s="2" t="s">
        <v>33</v>
      </c>
      <c r="D65" s="2" t="s">
        <v>74</v>
      </c>
      <c r="E65" s="2" t="s">
        <v>312</v>
      </c>
      <c r="F65" s="2" t="s">
        <v>11</v>
      </c>
      <c r="G65" s="30" t="s">
        <v>313</v>
      </c>
      <c r="H65" s="30" t="s">
        <v>313</v>
      </c>
      <c r="I65" s="2" t="s">
        <v>285</v>
      </c>
      <c r="J65" s="52">
        <v>46033</v>
      </c>
      <c r="K65" s="44" t="s">
        <v>26</v>
      </c>
      <c r="L65" s="53">
        <v>46056</v>
      </c>
      <c r="M65" s="54" t="s">
        <v>23</v>
      </c>
      <c r="N65" s="54" t="s">
        <v>24</v>
      </c>
      <c r="O65" s="54" t="s">
        <v>23</v>
      </c>
      <c r="P65" s="38">
        <v>46065</v>
      </c>
      <c r="Q65" s="15"/>
      <c r="R65" s="15"/>
      <c r="S65" s="30"/>
      <c r="T65" s="15"/>
      <c r="U65" s="15"/>
      <c r="V65" s="15"/>
      <c r="W65" s="15"/>
      <c r="X65" s="15"/>
      <c r="Y65" s="15"/>
    </row>
    <row r="66" spans="1:25" x14ac:dyDescent="0.25">
      <c r="A66" s="45" t="s">
        <v>288</v>
      </c>
      <c r="B66" s="45" t="s">
        <v>30</v>
      </c>
      <c r="C66" s="2" t="s">
        <v>33</v>
      </c>
      <c r="D66" s="2" t="s">
        <v>74</v>
      </c>
      <c r="E66" s="2" t="s">
        <v>293</v>
      </c>
      <c r="F66" s="2" t="s">
        <v>25</v>
      </c>
      <c r="G66" s="30" t="s">
        <v>302</v>
      </c>
      <c r="H66" s="30" t="s">
        <v>302</v>
      </c>
      <c r="I66" s="2" t="s">
        <v>303</v>
      </c>
      <c r="J66" s="52">
        <v>46030</v>
      </c>
      <c r="K66" s="44" t="s">
        <v>26</v>
      </c>
      <c r="L66" s="53">
        <v>46058</v>
      </c>
      <c r="M66" s="54" t="s">
        <v>23</v>
      </c>
      <c r="N66" s="54" t="s">
        <v>24</v>
      </c>
      <c r="O66" s="54" t="s">
        <v>23</v>
      </c>
      <c r="P66" s="20">
        <v>46069</v>
      </c>
      <c r="Q66" s="15"/>
      <c r="R66" s="15"/>
      <c r="S66" s="30"/>
      <c r="T66" s="15"/>
      <c r="U66" s="15"/>
      <c r="V66" s="15"/>
      <c r="W66" s="15"/>
      <c r="X66" s="15"/>
      <c r="Y66" s="15"/>
    </row>
    <row r="67" spans="1:25" x14ac:dyDescent="0.25">
      <c r="A67" s="5" t="s">
        <v>288</v>
      </c>
      <c r="B67" s="26" t="s">
        <v>30</v>
      </c>
      <c r="C67" s="9" t="s">
        <v>33</v>
      </c>
      <c r="D67" s="9" t="s">
        <v>74</v>
      </c>
      <c r="E67" s="9" t="s">
        <v>294</v>
      </c>
      <c r="F67" s="9" t="s">
        <v>11</v>
      </c>
      <c r="G67" s="30" t="s">
        <v>302</v>
      </c>
      <c r="H67" s="30" t="s">
        <v>302</v>
      </c>
      <c r="I67" s="11" t="s">
        <v>303</v>
      </c>
      <c r="J67" s="12">
        <v>46030</v>
      </c>
      <c r="K67" s="11" t="s">
        <v>26</v>
      </c>
      <c r="L67" s="13">
        <v>46058</v>
      </c>
      <c r="M67" s="9" t="s">
        <v>23</v>
      </c>
      <c r="N67" s="9" t="s">
        <v>24</v>
      </c>
      <c r="O67" s="9" t="s">
        <v>23</v>
      </c>
      <c r="P67" s="20">
        <v>46069</v>
      </c>
      <c r="Q67" s="12"/>
      <c r="R67" s="12"/>
      <c r="S67" s="12"/>
      <c r="T67" s="21"/>
      <c r="U67" s="22"/>
      <c r="V67" s="22"/>
      <c r="W67" s="22"/>
      <c r="X67" s="22"/>
      <c r="Y67" s="22"/>
    </row>
    <row r="68" spans="1:25" x14ac:dyDescent="0.25">
      <c r="A68" s="5" t="s">
        <v>289</v>
      </c>
      <c r="B68" s="26" t="s">
        <v>30</v>
      </c>
      <c r="C68" s="9" t="s">
        <v>33</v>
      </c>
      <c r="D68" s="9" t="s">
        <v>74</v>
      </c>
      <c r="E68" s="9" t="s">
        <v>295</v>
      </c>
      <c r="F68" s="9" t="s">
        <v>11</v>
      </c>
      <c r="G68" s="30" t="s">
        <v>304</v>
      </c>
      <c r="H68" s="30" t="s">
        <v>304</v>
      </c>
      <c r="I68" s="11" t="s">
        <v>305</v>
      </c>
      <c r="J68" s="12">
        <v>46030</v>
      </c>
      <c r="K68" s="11" t="s">
        <v>26</v>
      </c>
      <c r="L68" s="13">
        <v>46058</v>
      </c>
      <c r="M68" s="9" t="s">
        <v>23</v>
      </c>
      <c r="N68" s="9" t="s">
        <v>24</v>
      </c>
      <c r="O68" s="9" t="s">
        <v>23</v>
      </c>
      <c r="P68" s="20">
        <v>46069</v>
      </c>
      <c r="Q68" s="12"/>
      <c r="R68" s="12"/>
      <c r="S68" s="12"/>
      <c r="T68" s="21"/>
      <c r="U68" s="22"/>
      <c r="V68" s="22"/>
      <c r="W68" s="22"/>
      <c r="X68" s="22"/>
      <c r="Y68" s="22"/>
    </row>
    <row r="69" spans="1:25" x14ac:dyDescent="0.25">
      <c r="A69" s="5" t="s">
        <v>289</v>
      </c>
      <c r="B69" s="26" t="s">
        <v>30</v>
      </c>
      <c r="C69" s="9" t="s">
        <v>33</v>
      </c>
      <c r="D69" s="9" t="s">
        <v>74</v>
      </c>
      <c r="E69" s="9" t="s">
        <v>296</v>
      </c>
      <c r="F69" s="9" t="s">
        <v>11</v>
      </c>
      <c r="G69" s="30" t="s">
        <v>304</v>
      </c>
      <c r="H69" s="30" t="s">
        <v>304</v>
      </c>
      <c r="I69" s="11" t="s">
        <v>305</v>
      </c>
      <c r="J69" s="12">
        <v>46030</v>
      </c>
      <c r="K69" s="11" t="s">
        <v>26</v>
      </c>
      <c r="L69" s="13">
        <v>46058</v>
      </c>
      <c r="M69" s="9" t="s">
        <v>23</v>
      </c>
      <c r="N69" s="9" t="s">
        <v>24</v>
      </c>
      <c r="O69" s="9" t="s">
        <v>23</v>
      </c>
      <c r="P69" s="20">
        <v>46069</v>
      </c>
      <c r="Q69" s="12"/>
      <c r="R69" s="12"/>
      <c r="S69" s="12"/>
      <c r="T69" s="21"/>
      <c r="U69" s="22"/>
      <c r="V69" s="22"/>
      <c r="W69" s="22"/>
      <c r="X69" s="22"/>
      <c r="Y69" s="22"/>
    </row>
    <row r="70" spans="1:25" x14ac:dyDescent="0.25">
      <c r="A70" s="5" t="s">
        <v>306</v>
      </c>
      <c r="B70" s="26" t="s">
        <v>30</v>
      </c>
      <c r="C70" s="9" t="s">
        <v>33</v>
      </c>
      <c r="D70" s="9" t="s">
        <v>74</v>
      </c>
      <c r="E70" s="9" t="s">
        <v>307</v>
      </c>
      <c r="F70" s="9" t="s">
        <v>11</v>
      </c>
      <c r="G70" s="30" t="s">
        <v>308</v>
      </c>
      <c r="H70" s="30" t="s">
        <v>308</v>
      </c>
      <c r="I70" s="11" t="s">
        <v>309</v>
      </c>
      <c r="J70" s="12">
        <v>46030</v>
      </c>
      <c r="K70" s="11" t="s">
        <v>26</v>
      </c>
      <c r="L70" s="13">
        <v>46058</v>
      </c>
      <c r="M70" s="9" t="s">
        <v>23</v>
      </c>
      <c r="N70" s="9" t="s">
        <v>24</v>
      </c>
      <c r="O70" s="9" t="s">
        <v>23</v>
      </c>
      <c r="P70" s="20">
        <v>46069</v>
      </c>
      <c r="Q70" s="12"/>
      <c r="R70" s="12"/>
      <c r="S70" s="12"/>
      <c r="T70" s="21"/>
      <c r="U70" s="22"/>
      <c r="V70" s="22"/>
      <c r="W70" s="22"/>
      <c r="X70" s="22"/>
      <c r="Y70" s="22"/>
    </row>
    <row r="71" spans="1:25" x14ac:dyDescent="0.25">
      <c r="A71" s="5" t="s">
        <v>306</v>
      </c>
      <c r="B71" s="26" t="s">
        <v>30</v>
      </c>
      <c r="C71" s="9" t="s">
        <v>33</v>
      </c>
      <c r="D71" s="9" t="s">
        <v>74</v>
      </c>
      <c r="E71" s="9" t="s">
        <v>310</v>
      </c>
      <c r="F71" s="9" t="s">
        <v>25</v>
      </c>
      <c r="G71" s="30" t="s">
        <v>308</v>
      </c>
      <c r="H71" s="30" t="s">
        <v>308</v>
      </c>
      <c r="I71" s="11" t="s">
        <v>309</v>
      </c>
      <c r="J71" s="12">
        <v>46030</v>
      </c>
      <c r="K71" s="11" t="s">
        <v>26</v>
      </c>
      <c r="L71" s="13">
        <v>46058</v>
      </c>
      <c r="M71" s="9" t="s">
        <v>23</v>
      </c>
      <c r="N71" s="9" t="s">
        <v>24</v>
      </c>
      <c r="O71" s="9" t="s">
        <v>23</v>
      </c>
      <c r="P71" s="20">
        <v>46069</v>
      </c>
      <c r="Q71" s="12"/>
      <c r="R71" s="12"/>
      <c r="S71" s="12"/>
      <c r="T71" s="21"/>
      <c r="U71" s="22"/>
      <c r="V71" s="22"/>
      <c r="W71" s="22"/>
      <c r="X71" s="22"/>
      <c r="Y71" s="22"/>
    </row>
    <row r="72" spans="1:25" x14ac:dyDescent="0.25">
      <c r="A72" s="5" t="s">
        <v>264</v>
      </c>
      <c r="B72" s="26" t="s">
        <v>30</v>
      </c>
      <c r="C72" s="9" t="s">
        <v>33</v>
      </c>
      <c r="D72" s="9" t="s">
        <v>88</v>
      </c>
      <c r="E72" s="9" t="s">
        <v>265</v>
      </c>
      <c r="F72" s="9" t="s">
        <v>11</v>
      </c>
      <c r="G72" s="30" t="s">
        <v>268</v>
      </c>
      <c r="H72" s="30" t="s">
        <v>266</v>
      </c>
      <c r="I72" s="11" t="s">
        <v>267</v>
      </c>
      <c r="J72" s="12">
        <v>46027</v>
      </c>
      <c r="K72" s="11" t="s">
        <v>15</v>
      </c>
      <c r="L72" s="13">
        <v>46060</v>
      </c>
      <c r="M72" s="9" t="s">
        <v>23</v>
      </c>
      <c r="N72" s="9" t="s">
        <v>24</v>
      </c>
      <c r="O72" s="9" t="s">
        <v>23</v>
      </c>
      <c r="P72" s="20">
        <v>46069</v>
      </c>
      <c r="Q72" s="12"/>
      <c r="R72" s="12"/>
      <c r="S72" s="12"/>
      <c r="T72" s="21"/>
      <c r="U72" s="22"/>
      <c r="V72" s="22"/>
      <c r="W72" s="22"/>
      <c r="X72" s="22"/>
      <c r="Y72" s="22"/>
    </row>
    <row r="73" spans="1:25" x14ac:dyDescent="0.25">
      <c r="A73" s="5" t="s">
        <v>241</v>
      </c>
      <c r="B73" s="26" t="s">
        <v>30</v>
      </c>
      <c r="C73" s="9" t="s">
        <v>33</v>
      </c>
      <c r="D73" s="9" t="s">
        <v>243</v>
      </c>
      <c r="E73" s="9" t="s">
        <v>244</v>
      </c>
      <c r="F73" s="9" t="s">
        <v>11</v>
      </c>
      <c r="G73" s="30" t="s">
        <v>245</v>
      </c>
      <c r="H73" s="30" t="s">
        <v>246</v>
      </c>
      <c r="I73" s="11" t="s">
        <v>247</v>
      </c>
      <c r="J73" s="12">
        <v>46025</v>
      </c>
      <c r="K73" s="11" t="s">
        <v>103</v>
      </c>
      <c r="L73" s="13">
        <v>46068</v>
      </c>
      <c r="M73" s="9" t="s">
        <v>23</v>
      </c>
      <c r="N73" s="9" t="s">
        <v>24</v>
      </c>
      <c r="O73" s="9" t="s">
        <v>23</v>
      </c>
      <c r="P73" s="20">
        <v>46077</v>
      </c>
      <c r="Q73" s="12"/>
      <c r="R73" s="12"/>
      <c r="S73" s="12"/>
      <c r="T73" s="21"/>
      <c r="U73" s="22"/>
      <c r="V73" s="22"/>
      <c r="W73" s="22"/>
      <c r="X73" s="22"/>
      <c r="Y73" s="22"/>
    </row>
    <row r="74" spans="1:25" x14ac:dyDescent="0.25">
      <c r="A74" s="5" t="s">
        <v>237</v>
      </c>
      <c r="B74" s="26" t="s">
        <v>30</v>
      </c>
      <c r="C74" s="9" t="s">
        <v>33</v>
      </c>
      <c r="D74" s="9" t="s">
        <v>97</v>
      </c>
      <c r="E74" s="9" t="s">
        <v>238</v>
      </c>
      <c r="F74" s="9" t="s">
        <v>25</v>
      </c>
      <c r="G74" s="30" t="s">
        <v>239</v>
      </c>
      <c r="H74" s="30" t="s">
        <v>240</v>
      </c>
      <c r="I74" s="11" t="s">
        <v>197</v>
      </c>
      <c r="J74" s="12">
        <v>46033</v>
      </c>
      <c r="K74" s="11" t="s">
        <v>103</v>
      </c>
      <c r="L74" s="13">
        <v>46069</v>
      </c>
      <c r="M74" s="9" t="s">
        <v>23</v>
      </c>
      <c r="N74" s="9" t="s">
        <v>24</v>
      </c>
      <c r="O74" s="9" t="s">
        <v>23</v>
      </c>
      <c r="P74" s="20">
        <v>46078</v>
      </c>
      <c r="Q74" s="12"/>
      <c r="R74" s="12"/>
      <c r="S74" s="12"/>
      <c r="T74" s="21"/>
      <c r="U74" s="22"/>
      <c r="V74" s="22"/>
      <c r="W74" s="22"/>
      <c r="X74" s="22"/>
      <c r="Y74" s="22"/>
    </row>
    <row r="75" spans="1:25" x14ac:dyDescent="0.25">
      <c r="A75" s="5" t="s">
        <v>237</v>
      </c>
      <c r="B75" s="26" t="s">
        <v>30</v>
      </c>
      <c r="C75" s="9" t="s">
        <v>33</v>
      </c>
      <c r="D75" s="9" t="s">
        <v>97</v>
      </c>
      <c r="E75" s="9" t="s">
        <v>242</v>
      </c>
      <c r="F75" s="9" t="s">
        <v>25</v>
      </c>
      <c r="G75" s="30" t="s">
        <v>239</v>
      </c>
      <c r="H75" s="30" t="s">
        <v>240</v>
      </c>
      <c r="I75" s="11" t="s">
        <v>197</v>
      </c>
      <c r="J75" s="12">
        <v>46033</v>
      </c>
      <c r="K75" s="11" t="s">
        <v>103</v>
      </c>
      <c r="L75" s="13">
        <v>46069</v>
      </c>
      <c r="M75" s="9" t="s">
        <v>23</v>
      </c>
      <c r="N75" s="9" t="s">
        <v>24</v>
      </c>
      <c r="O75" s="9" t="s">
        <v>23</v>
      </c>
      <c r="P75" s="20">
        <v>46078</v>
      </c>
      <c r="Q75" s="12"/>
      <c r="R75" s="12"/>
      <c r="S75" s="12"/>
      <c r="T75" s="21"/>
      <c r="U75" s="22"/>
      <c r="V75" s="22"/>
      <c r="W75" s="22"/>
      <c r="X75" s="22"/>
      <c r="Y75" s="22"/>
    </row>
    <row r="76" spans="1:25" x14ac:dyDescent="0.25">
      <c r="A76" t="s">
        <v>318</v>
      </c>
      <c r="B76" t="s">
        <v>30</v>
      </c>
      <c r="C76" t="s">
        <v>33</v>
      </c>
      <c r="D76" t="s">
        <v>187</v>
      </c>
      <c r="E76" t="s">
        <v>319</v>
      </c>
      <c r="F76" t="s">
        <v>20</v>
      </c>
      <c r="G76" t="s">
        <v>320</v>
      </c>
      <c r="H76" t="s">
        <v>320</v>
      </c>
      <c r="I76" t="s">
        <v>321</v>
      </c>
      <c r="J76">
        <v>46043</v>
      </c>
      <c r="K76" s="42" t="s">
        <v>103</v>
      </c>
      <c r="L76" s="16">
        <v>46074</v>
      </c>
      <c r="M76" t="s">
        <v>23</v>
      </c>
      <c r="N76" t="s">
        <v>24</v>
      </c>
      <c r="O76" t="s">
        <v>23</v>
      </c>
      <c r="P76" s="16">
        <v>46083</v>
      </c>
    </row>
    <row r="79" spans="1:25" x14ac:dyDescent="0.25">
      <c r="C79" s="40"/>
    </row>
  </sheetData>
  <autoFilter ref="A4:Y76" xr:uid="{6BB6BCD1-25BC-477D-939A-16FEB2969AA2}">
    <sortState xmlns:xlrd2="http://schemas.microsoft.com/office/spreadsheetml/2017/richdata2" ref="A5:Y76">
      <sortCondition ref="S4:S76"/>
    </sortState>
  </autoFilter>
  <mergeCells count="1">
    <mergeCell ref="I2:N2"/>
  </mergeCells>
  <phoneticPr fontId="3" type="noConversion"/>
  <conditionalFormatting sqref="A39:A41">
    <cfRule type="expression" dxfId="202" priority="225">
      <formula>AND($C39="READY")</formula>
    </cfRule>
    <cfRule type="expression" dxfId="201" priority="216">
      <formula>AND($C39="BCN")</formula>
    </cfRule>
    <cfRule type="expression" dxfId="200" priority="215">
      <formula>AND($C39="LCL")</formula>
    </cfRule>
    <cfRule type="expression" dxfId="199" priority="227">
      <formula>AND($C39="RAIL")</formula>
    </cfRule>
    <cfRule type="expression" dxfId="198" priority="230">
      <formula>AND($C39="VSL")</formula>
    </cfRule>
    <cfRule type="expression" dxfId="197" priority="229">
      <formula>AND($C39="ARR")</formula>
    </cfRule>
    <cfRule type="expression" dxfId="196" priority="228">
      <formula>AND($C39="RAILP")</formula>
    </cfRule>
    <cfRule type="expression" dxfId="195" priority="226">
      <formula>AND($C39="REL")</formula>
    </cfRule>
    <cfRule type="expression" dxfId="194" priority="218">
      <formula>AND($C39="LHOLD")</formula>
    </cfRule>
    <cfRule type="expression" dxfId="193" priority="224">
      <formula>AND($C39="AVAILABLE")</formula>
    </cfRule>
    <cfRule type="expression" dxfId="192" priority="223">
      <formula>AND($C39="DIS")</formula>
    </cfRule>
    <cfRule type="expression" dxfId="191" priority="222">
      <formula>AND($C39="OGF")</formula>
    </cfRule>
    <cfRule type="expression" dxfId="190" priority="221">
      <formula>AND($C39="HOT")</formula>
    </cfRule>
    <cfRule type="expression" dxfId="189" priority="220">
      <formula>AND($C39="HOLD")</formula>
    </cfRule>
    <cfRule type="expression" dxfId="188" priority="219">
      <formula>AND($C39="CHOLD")</formula>
    </cfRule>
    <cfRule type="expression" dxfId="187" priority="217">
      <formula>AND($C39="PROBLEM")</formula>
    </cfRule>
  </conditionalFormatting>
  <conditionalFormatting sqref="A4:F4 I4:P4 S4:Y4">
    <cfRule type="cellIs" dxfId="186" priority="61086" stopIfTrue="1" operator="equal">
      <formula>"NEED"</formula>
    </cfRule>
    <cfRule type="cellIs" dxfId="185" priority="61085" stopIfTrue="1" operator="equal">
      <formula>"PEND"</formula>
    </cfRule>
  </conditionalFormatting>
  <conditionalFormatting sqref="A5:F37">
    <cfRule type="expression" dxfId="184" priority="268">
      <formula>AND($C5="PROBLEM")</formula>
    </cfRule>
    <cfRule type="expression" dxfId="183" priority="267">
      <formula>AND($C5="BCN")</formula>
    </cfRule>
    <cfRule type="expression" dxfId="182" priority="266">
      <formula>AND($C5="LCL")</formula>
    </cfRule>
    <cfRule type="expression" dxfId="181" priority="281">
      <formula>AND($C5="VSL")</formula>
    </cfRule>
    <cfRule type="expression" dxfId="180" priority="280">
      <formula>AND($C5="ARR")</formula>
    </cfRule>
    <cfRule type="expression" dxfId="179" priority="279">
      <formula>AND($C5="RAILP")</formula>
    </cfRule>
    <cfRule type="expression" dxfId="178" priority="277">
      <formula>AND($C5="REL")</formula>
    </cfRule>
    <cfRule type="expression" dxfId="177" priority="276">
      <formula>AND($C5="READY")</formula>
    </cfRule>
    <cfRule type="expression" dxfId="176" priority="275">
      <formula>AND($C5="AVAILABLE")</formula>
    </cfRule>
    <cfRule type="expression" dxfId="175" priority="274">
      <formula>AND($C5="DIS")</formula>
    </cfRule>
    <cfRule type="expression" dxfId="174" priority="273">
      <formula>AND($C5="OGF")</formula>
    </cfRule>
    <cfRule type="expression" dxfId="173" priority="272">
      <formula>AND($C5="HOT")</formula>
    </cfRule>
    <cfRule type="expression" dxfId="172" priority="271">
      <formula>AND($C5="HOLD")</formula>
    </cfRule>
    <cfRule type="expression" dxfId="171" priority="270">
      <formula>AND($C5="CHOLD")</formula>
    </cfRule>
    <cfRule type="expression" dxfId="170" priority="269">
      <formula>AND($C5="LHOLD")</formula>
    </cfRule>
    <cfRule type="expression" dxfId="169" priority="278">
      <formula>AND($C5="RAIL")</formula>
    </cfRule>
  </conditionalFormatting>
  <conditionalFormatting sqref="A38:F38">
    <cfRule type="expression" dxfId="168" priority="135">
      <formula>AND($C38="BCN")</formula>
    </cfRule>
    <cfRule type="expression" dxfId="167" priority="149">
      <formula>AND($C38="VSL")</formula>
    </cfRule>
    <cfRule type="expression" dxfId="166" priority="148">
      <formula>AND($C38="ARR")</formula>
    </cfRule>
    <cfRule type="expression" dxfId="165" priority="147">
      <formula>AND($C38="RAILP")</formula>
    </cfRule>
    <cfRule type="expression" dxfId="164" priority="146">
      <formula>AND($C38="RAIL")</formula>
    </cfRule>
    <cfRule type="expression" dxfId="163" priority="145">
      <formula>AND($C38="REL")</formula>
    </cfRule>
    <cfRule type="expression" dxfId="162" priority="144">
      <formula>AND($C38="READY")</formula>
    </cfRule>
    <cfRule type="expression" dxfId="161" priority="143">
      <formula>AND($C38="AVAILABLE")</formula>
    </cfRule>
    <cfRule type="expression" dxfId="160" priority="142">
      <formula>AND($C38="DIS")</formula>
    </cfRule>
    <cfRule type="expression" dxfId="159" priority="141">
      <formula>AND($C38="OGF")</formula>
    </cfRule>
    <cfRule type="expression" dxfId="158" priority="140">
      <formula>AND($C38="HOT")</formula>
    </cfRule>
    <cfRule type="expression" dxfId="157" priority="138">
      <formula>AND($C38="CHOLD")</formula>
    </cfRule>
    <cfRule type="expression" dxfId="156" priority="139">
      <formula>AND($C38="HOLD")</formula>
    </cfRule>
    <cfRule type="expression" dxfId="155" priority="137">
      <formula>AND($C38="LHOLD")</formula>
    </cfRule>
    <cfRule type="expression" dxfId="154" priority="136">
      <formula>AND($C38="PROBLEM")</formula>
    </cfRule>
    <cfRule type="expression" dxfId="153" priority="134">
      <formula>AND($C38="LCL")</formula>
    </cfRule>
  </conditionalFormatting>
  <conditionalFormatting sqref="A50:F50">
    <cfRule type="expression" dxfId="152" priority="51">
      <formula>AND($C50="LCL")</formula>
    </cfRule>
    <cfRule type="expression" dxfId="151" priority="52">
      <formula>AND($C50="BCN")</formula>
    </cfRule>
    <cfRule type="expression" dxfId="150" priority="53">
      <formula>AND($C50="PROBLEM")</formula>
    </cfRule>
    <cfRule type="expression" dxfId="149" priority="54">
      <formula>AND($C50="LHOLD")</formula>
    </cfRule>
    <cfRule type="expression" dxfId="148" priority="55">
      <formula>AND($C50="CHOLD")</formula>
    </cfRule>
    <cfRule type="expression" dxfId="147" priority="56">
      <formula>AND($C50="HOLD")</formula>
    </cfRule>
    <cfRule type="expression" dxfId="146" priority="57">
      <formula>AND($C50="HOT")</formula>
    </cfRule>
    <cfRule type="expression" dxfId="145" priority="58">
      <formula>AND($C50="OGF")</formula>
    </cfRule>
    <cfRule type="expression" dxfId="144" priority="59">
      <formula>AND($C50="DIS")</formula>
    </cfRule>
    <cfRule type="expression" dxfId="143" priority="60">
      <formula>AND($C50="AVAILABLE")</formula>
    </cfRule>
    <cfRule type="expression" dxfId="142" priority="61">
      <formula>AND($C50="READY")</formula>
    </cfRule>
    <cfRule type="expression" dxfId="141" priority="62">
      <formula>AND($C50="REL")</formula>
    </cfRule>
    <cfRule type="expression" dxfId="140" priority="63">
      <formula>AND($C50="RAIL")</formula>
    </cfRule>
    <cfRule type="expression" dxfId="139" priority="64">
      <formula>AND($C50="RAILP")</formula>
    </cfRule>
    <cfRule type="expression" dxfId="138" priority="65">
      <formula>AND($C50="ARR")</formula>
    </cfRule>
    <cfRule type="expression" dxfId="137" priority="66">
      <formula>AND($C50="VSL")</formula>
    </cfRule>
  </conditionalFormatting>
  <conditionalFormatting sqref="A66:F75">
    <cfRule type="expression" dxfId="136" priority="18">
      <formula>AND($C66="LCL")</formula>
    </cfRule>
    <cfRule type="expression" dxfId="135" priority="19">
      <formula>AND($C66="BCN")</formula>
    </cfRule>
    <cfRule type="expression" dxfId="134" priority="20">
      <formula>AND($C66="PROBLEM")</formula>
    </cfRule>
    <cfRule type="expression" dxfId="133" priority="21">
      <formula>AND($C66="LHOLD")</formula>
    </cfRule>
    <cfRule type="expression" dxfId="132" priority="22">
      <formula>AND($C66="CHOLD")</formula>
    </cfRule>
    <cfRule type="expression" dxfId="131" priority="23">
      <formula>AND($C66="HOLD")</formula>
    </cfRule>
    <cfRule type="expression" dxfId="130" priority="24">
      <formula>AND($C66="HOT")</formula>
    </cfRule>
    <cfRule type="expression" dxfId="129" priority="25">
      <formula>AND($C66="OGF")</formula>
    </cfRule>
    <cfRule type="expression" dxfId="128" priority="27">
      <formula>AND($C66="AVAILABLE")</formula>
    </cfRule>
    <cfRule type="expression" dxfId="127" priority="28">
      <formula>AND($C66="READY")</formula>
    </cfRule>
    <cfRule type="expression" dxfId="126" priority="29">
      <formula>AND($C66="REL")</formula>
    </cfRule>
    <cfRule type="expression" dxfId="125" priority="30">
      <formula>AND($C66="RAIL")</formula>
    </cfRule>
    <cfRule type="expression" dxfId="124" priority="31">
      <formula>AND($C66="RAILP")</formula>
    </cfRule>
    <cfRule type="expression" dxfId="123" priority="32">
      <formula>AND($C66="ARR")</formula>
    </cfRule>
    <cfRule type="expression" dxfId="122" priority="33">
      <formula>AND($C66="VSL")</formula>
    </cfRule>
    <cfRule type="expression" dxfId="121" priority="26">
      <formula>AND($C66="DIS")</formula>
    </cfRule>
  </conditionalFormatting>
  <conditionalFormatting sqref="B39:C43">
    <cfRule type="expression" dxfId="120" priority="114">
      <formula>AND($C39="ARR")</formula>
    </cfRule>
    <cfRule type="expression" dxfId="119" priority="100">
      <formula>AND($C39="LCL")</formula>
    </cfRule>
    <cfRule type="expression" dxfId="118" priority="101">
      <formula>AND($C39="BCN")</formula>
    </cfRule>
    <cfRule type="expression" dxfId="117" priority="102">
      <formula>AND($C39="PROBLEM")</formula>
    </cfRule>
    <cfRule type="expression" dxfId="116" priority="103">
      <formula>AND($C39="LHOLD")</formula>
    </cfRule>
    <cfRule type="expression" dxfId="115" priority="104">
      <formula>AND($C39="CHOLD")</formula>
    </cfRule>
    <cfRule type="expression" dxfId="114" priority="105">
      <formula>AND($C39="HOLD")</formula>
    </cfRule>
    <cfRule type="expression" dxfId="113" priority="110">
      <formula>AND($C39="READY")</formula>
    </cfRule>
    <cfRule type="expression" dxfId="112" priority="106">
      <formula>AND($C39="HOT")</formula>
    </cfRule>
    <cfRule type="expression" dxfId="111" priority="107">
      <formula>AND($C39="OGF")</formula>
    </cfRule>
    <cfRule type="expression" dxfId="110" priority="108">
      <formula>AND($C39="DIS")</formula>
    </cfRule>
    <cfRule type="expression" dxfId="109" priority="109">
      <formula>AND($C39="AVAILABLE")</formula>
    </cfRule>
    <cfRule type="expression" dxfId="108" priority="111">
      <formula>AND($C39="REL")</formula>
    </cfRule>
    <cfRule type="expression" dxfId="107" priority="115">
      <formula>AND($C39="VSL")</formula>
    </cfRule>
    <cfRule type="expression" dxfId="106" priority="112">
      <formula>AND($C39="RAIL")</formula>
    </cfRule>
    <cfRule type="expression" dxfId="105" priority="113">
      <formula>AND($C39="RAILP")</formula>
    </cfRule>
  </conditionalFormatting>
  <conditionalFormatting sqref="C79">
    <cfRule type="expression" dxfId="104" priority="192">
      <formula>AND($B79="STACKS")</formula>
    </cfRule>
    <cfRule type="containsText" dxfId="103" priority="182" operator="containsText" text="XXX">
      <formula>NOT(ISERROR(SEARCH("XXX",C79)))</formula>
    </cfRule>
    <cfRule type="expression" dxfId="102" priority="183">
      <formula>AND($B79="FDAHOLD")</formula>
    </cfRule>
    <cfRule type="expression" dxfId="101" priority="184">
      <formula>AND($B79="APTCONFIRM")</formula>
    </cfRule>
    <cfRule type="expression" dxfId="100" priority="185">
      <formula>AND($B79="DELWAREHOUSE")</formula>
    </cfRule>
    <cfRule type="expression" dxfId="99" priority="186">
      <formula>AND($B79="WAREHOUSE")</formula>
    </cfRule>
    <cfRule type="expression" dxfId="98" priority="187">
      <formula>AND($B79="OPEND")</formula>
    </cfRule>
    <cfRule type="expression" dxfId="97" priority="188">
      <formula>AND($B79="TRANS")</formula>
    </cfRule>
    <cfRule type="expression" dxfId="96" priority="189">
      <formula>AND($B79="SHIPPERS")</formula>
    </cfRule>
    <cfRule type="expression" dxfId="95" priority="190">
      <formula>AND($B79="AVAILABLE")</formula>
    </cfRule>
    <cfRule type="expression" dxfId="94" priority="191">
      <formula>AND($B79="RLS")</formula>
    </cfRule>
    <cfRule type="expression" dxfId="93" priority="202">
      <formula>AND($B79="LHOLD")</formula>
    </cfRule>
    <cfRule type="expression" dxfId="92" priority="193">
      <formula>AND($B79="DLVD")</formula>
    </cfRule>
    <cfRule type="expression" dxfId="91" priority="194">
      <formula>AND($B79="DEM")</formula>
    </cfRule>
    <cfRule type="expression" dxfId="90" priority="195">
      <formula>AND($B79="PROBLEM")</formula>
    </cfRule>
    <cfRule type="expression" dxfId="89" priority="207">
      <formula>AND($B79="RAILP")</formula>
    </cfRule>
    <cfRule type="expression" dxfId="88" priority="196">
      <formula>AND($B79="OGF")</formula>
    </cfRule>
    <cfRule type="expression" dxfId="87" priority="197">
      <formula>AND($B79="CLOSED")</formula>
    </cfRule>
    <cfRule type="expression" dxfId="86" priority="198">
      <formula>AND($B79="APT")</formula>
    </cfRule>
    <cfRule type="expression" dxfId="85" priority="199">
      <formula>AND($B79="DIS")</formula>
    </cfRule>
    <cfRule type="expression" dxfId="84" priority="200">
      <formula>AND($B79="ANCHOR")</formula>
    </cfRule>
    <cfRule type="expression" dxfId="83" priority="201">
      <formula>AND($B79="CHOLD/LHOLD")</formula>
    </cfRule>
    <cfRule type="expression" dxfId="82" priority="203">
      <formula>AND($B79="CHOLD")</formula>
    </cfRule>
    <cfRule type="expression" dxfId="81" priority="204">
      <formula>AND($B79="EXAM")</formula>
    </cfRule>
    <cfRule type="expression" dxfId="80" priority="205">
      <formula>AND($B79="HOLD")</formula>
    </cfRule>
    <cfRule type="expression" dxfId="79" priority="206">
      <formula>AND($B79="LCL")</formula>
    </cfRule>
    <cfRule type="expression" dxfId="78" priority="208">
      <formula>AND($B79="RAMP")</formula>
    </cfRule>
    <cfRule type="expression" dxfId="77" priority="209">
      <formula>AND($B79="READY")</formula>
    </cfRule>
    <cfRule type="expression" dxfId="76" priority="210">
      <formula>AND($B79="RAIL")</formula>
    </cfRule>
    <cfRule type="expression" dxfId="75" priority="211">
      <formula>AND($B79="VSL")</formula>
    </cfRule>
    <cfRule type="expression" dxfId="74" priority="212">
      <formula>AND($B79="HOT")</formula>
    </cfRule>
    <cfRule type="expression" dxfId="73" priority="213">
      <formula>AND($B79="ARR")</formula>
    </cfRule>
    <cfRule type="expression" dxfId="72" priority="214">
      <formula>AND($B79="STRIKE")</formula>
    </cfRule>
  </conditionalFormatting>
  <conditionalFormatting sqref="E5:E37">
    <cfRule type="duplicateValues" dxfId="71" priority="265"/>
  </conditionalFormatting>
  <conditionalFormatting sqref="E38">
    <cfRule type="duplicateValues" dxfId="70" priority="133"/>
  </conditionalFormatting>
  <conditionalFormatting sqref="E42:E43">
    <cfRule type="expression" dxfId="69" priority="123">
      <formula>AND($C42="HOT")</formula>
    </cfRule>
    <cfRule type="expression" dxfId="68" priority="132">
      <formula>AND($C42="VSL")</formula>
    </cfRule>
    <cfRule type="expression" dxfId="67" priority="131">
      <formula>AND($C42="ARR")</formula>
    </cfRule>
    <cfRule type="expression" dxfId="66" priority="130">
      <formula>AND($C42="RAILP")</formula>
    </cfRule>
    <cfRule type="expression" dxfId="65" priority="129">
      <formula>AND($C42="RAIL")</formula>
    </cfRule>
    <cfRule type="expression" dxfId="64" priority="128">
      <formula>AND($C42="REL")</formula>
    </cfRule>
    <cfRule type="expression" dxfId="63" priority="127">
      <formula>AND($C42="READY")</formula>
    </cfRule>
    <cfRule type="duplicateValues" dxfId="62" priority="116"/>
    <cfRule type="expression" dxfId="61" priority="126">
      <formula>AND($C42="AVAILABLE")</formula>
    </cfRule>
    <cfRule type="expression" dxfId="60" priority="125">
      <formula>AND($C42="DIS")</formula>
    </cfRule>
    <cfRule type="expression" dxfId="59" priority="124">
      <formula>AND($C42="OGF")</formula>
    </cfRule>
    <cfRule type="expression" dxfId="58" priority="122">
      <formula>AND($C42="HOLD")</formula>
    </cfRule>
    <cfRule type="expression" dxfId="57" priority="121">
      <formula>AND($C42="CHOLD")</formula>
    </cfRule>
    <cfRule type="expression" dxfId="56" priority="119">
      <formula>AND($C42="PROBLEM")</formula>
    </cfRule>
    <cfRule type="expression" dxfId="55" priority="118">
      <formula>AND($C42="BCN")</formula>
    </cfRule>
    <cfRule type="expression" dxfId="54" priority="117">
      <formula>AND($C42="LCL")</formula>
    </cfRule>
    <cfRule type="expression" dxfId="53" priority="120">
      <formula>AND($C42="LHOLD")</formula>
    </cfRule>
  </conditionalFormatting>
  <conditionalFormatting sqref="E50">
    <cfRule type="duplicateValues" dxfId="52" priority="50"/>
  </conditionalFormatting>
  <conditionalFormatting sqref="E66:E75">
    <cfRule type="duplicateValues" dxfId="51" priority="17"/>
  </conditionalFormatting>
  <conditionalFormatting sqref="I2:K2">
    <cfRule type="cellIs" dxfId="50" priority="61083" stopIfTrue="1" operator="equal">
      <formula>"PEND"</formula>
    </cfRule>
    <cfRule type="cellIs" dxfId="49" priority="61084" stopIfTrue="1" operator="equal">
      <formula>"NEED"</formula>
    </cfRule>
  </conditionalFormatting>
  <conditionalFormatting sqref="I5:O38">
    <cfRule type="expression" dxfId="48" priority="167">
      <formula>AND($C5="BCN")</formula>
    </cfRule>
    <cfRule type="expression" dxfId="47" priority="168">
      <formula>AND($C5="PROBLEM")</formula>
    </cfRule>
    <cfRule type="expression" dxfId="46" priority="169">
      <formula>AND($C5="LHOLD")</formula>
    </cfRule>
    <cfRule type="expression" dxfId="45" priority="170">
      <formula>AND($C5="CHOLD")</formula>
    </cfRule>
    <cfRule type="expression" dxfId="44" priority="171">
      <formula>AND($C5="HOLD")</formula>
    </cfRule>
    <cfRule type="expression" dxfId="43" priority="172">
      <formula>AND($C5="HOT")</formula>
    </cfRule>
    <cfRule type="expression" dxfId="42" priority="173">
      <formula>AND($C5="OGF")</formula>
    </cfRule>
    <cfRule type="expression" dxfId="41" priority="174">
      <formula>AND($C5="DIS")</formula>
    </cfRule>
    <cfRule type="expression" dxfId="40" priority="175">
      <formula>AND($C5="AVAILABLE")</formula>
    </cfRule>
    <cfRule type="expression" dxfId="39" priority="176">
      <formula>AND($C5="READY")</formula>
    </cfRule>
    <cfRule type="expression" dxfId="38" priority="178">
      <formula>AND($C5="RAIL")</formula>
    </cfRule>
    <cfRule type="expression" dxfId="37" priority="179">
      <formula>AND($C5="RAILP")</formula>
    </cfRule>
    <cfRule type="expression" dxfId="36" priority="180">
      <formula>AND($C5="ARR")</formula>
    </cfRule>
    <cfRule type="expression" dxfId="35" priority="177">
      <formula>AND($C5="REL")</formula>
    </cfRule>
    <cfRule type="expression" dxfId="34" priority="166">
      <formula>AND($C5="LCL")</formula>
    </cfRule>
    <cfRule type="expression" dxfId="33" priority="181">
      <formula>AND($C5="VSL")</formula>
    </cfRule>
  </conditionalFormatting>
  <conditionalFormatting sqref="I50:O50">
    <cfRule type="expression" dxfId="32" priority="36">
      <formula>AND($C50="PROBLEM")</formula>
    </cfRule>
    <cfRule type="expression" dxfId="31" priority="37">
      <formula>AND($C50="LHOLD")</formula>
    </cfRule>
    <cfRule type="expression" dxfId="30" priority="48">
      <formula>AND($C50="ARR")</formula>
    </cfRule>
    <cfRule type="expression" dxfId="29" priority="47">
      <formula>AND($C50="RAILP")</formula>
    </cfRule>
    <cfRule type="expression" dxfId="28" priority="46">
      <formula>AND($C50="RAIL")</formula>
    </cfRule>
    <cfRule type="expression" dxfId="27" priority="45">
      <formula>AND($C50="REL")</formula>
    </cfRule>
    <cfRule type="expression" dxfId="26" priority="44">
      <formula>AND($C50="READY")</formula>
    </cfRule>
    <cfRule type="expression" dxfId="25" priority="43">
      <formula>AND($C50="AVAILABLE")</formula>
    </cfRule>
    <cfRule type="expression" dxfId="24" priority="42">
      <formula>AND($C50="DIS")</formula>
    </cfRule>
    <cfRule type="expression" dxfId="23" priority="41">
      <formula>AND($C50="OGF")</formula>
    </cfRule>
    <cfRule type="expression" dxfId="22" priority="40">
      <formula>AND($C50="HOT")</formula>
    </cfRule>
    <cfRule type="expression" dxfId="21" priority="39">
      <formula>AND($C50="HOLD")</formula>
    </cfRule>
    <cfRule type="expression" dxfId="20" priority="34">
      <formula>AND($C50="LCL")</formula>
    </cfRule>
    <cfRule type="expression" dxfId="19" priority="35">
      <formula>AND($C50="BCN")</formula>
    </cfRule>
    <cfRule type="expression" dxfId="18" priority="38">
      <formula>AND($C50="CHOLD")</formula>
    </cfRule>
    <cfRule type="expression" dxfId="17" priority="49">
      <formula>AND($C50="VSL")</formula>
    </cfRule>
  </conditionalFormatting>
  <conditionalFormatting sqref="I66:O75">
    <cfRule type="expression" dxfId="16" priority="16">
      <formula>AND($C66="VSL")</formula>
    </cfRule>
    <cfRule type="expression" dxfId="15" priority="15">
      <formula>AND($C66="ARR")</formula>
    </cfRule>
    <cfRule type="expression" dxfId="14" priority="14">
      <formula>AND($C66="RAILP")</formula>
    </cfRule>
    <cfRule type="expression" dxfId="13" priority="13">
      <formula>AND($C66="RAIL")</formula>
    </cfRule>
    <cfRule type="expression" dxfId="12" priority="12">
      <formula>AND($C66="REL")</formula>
    </cfRule>
    <cfRule type="expression" dxfId="11" priority="10">
      <formula>AND($C66="AVAILABLE")</formula>
    </cfRule>
    <cfRule type="expression" dxfId="10" priority="9">
      <formula>AND($C66="DIS")</formula>
    </cfRule>
    <cfRule type="expression" dxfId="9" priority="8">
      <formula>AND($C66="OGF")</formula>
    </cfRule>
    <cfRule type="expression" dxfId="8" priority="7">
      <formula>AND($C66="HOT")</formula>
    </cfRule>
    <cfRule type="expression" dxfId="7" priority="6">
      <formula>AND($C66="HOLD")</formula>
    </cfRule>
    <cfRule type="expression" dxfId="6" priority="5">
      <formula>AND($C66="CHOLD")</formula>
    </cfRule>
    <cfRule type="expression" dxfId="5" priority="4">
      <formula>AND($C66="LHOLD")</formula>
    </cfRule>
    <cfRule type="expression" dxfId="4" priority="3">
      <formula>AND($C66="PROBLEM")</formula>
    </cfRule>
    <cfRule type="expression" dxfId="3" priority="2">
      <formula>AND($C66="BCN")</formula>
    </cfRule>
    <cfRule type="expression" dxfId="2" priority="11">
      <formula>AND($C66="READY")</formula>
    </cfRule>
    <cfRule type="expression" dxfId="1" priority="1">
      <formula>AND($C66="LCL")</formula>
    </cfRule>
  </conditionalFormatting>
  <conditionalFormatting sqref="Q38:Y38 P39:Y44">
    <cfRule type="containsText" dxfId="0" priority="9884" operator="containsText" text="XXX">
      <formula>NOT(ISERROR(SEARCH("XXX",P38)))</formula>
    </cfRule>
  </conditionalFormatting>
  <dataValidations count="1">
    <dataValidation type="date" allowBlank="1" errorTitle="Date Field" error="Please only enter &quot;DATES&quot;.  Any other form of data will corrupt uploading to the IESYS._x000a__x000a_Thanks," promptTitle="Date Field" prompt="This must be a &quot;DATE&quot;.  Any other form of data will corrupt information sharing from AGL DB to IESYS." sqref="L4 Q4:Y4" xr:uid="{EE791D99-22F5-4CB3-94CF-72E617764695}">
      <formula1>39083</formula1>
      <formula2>44196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Schafer</dc:creator>
  <cp:lastModifiedBy>Heather Isenbarg</cp:lastModifiedBy>
  <dcterms:created xsi:type="dcterms:W3CDTF">2019-05-01T18:16:51Z</dcterms:created>
  <dcterms:modified xsi:type="dcterms:W3CDTF">2026-01-21T15:31:31Z</dcterms:modified>
</cp:coreProperties>
</file>